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Mi unidad\UIDE\PROYECTO INGRESO\"/>
    </mc:Choice>
  </mc:AlternateContent>
  <bookViews>
    <workbookView xWindow="0" yWindow="0" windowWidth="20490" windowHeight="7650" tabRatio="956"/>
  </bookViews>
  <sheets>
    <sheet name="00_Target_General" sheetId="1" r:id="rId1"/>
    <sheet name="01_Sexo" sheetId="2" r:id="rId2"/>
    <sheet name="02_Area" sheetId="3" r:id="rId3"/>
    <sheet name="03_Estado_Civil" sheetId="4" r:id="rId4"/>
    <sheet name="04_Nivel_Educativo" sheetId="5" r:id="rId5"/>
    <sheet name="05_Tamano_Empresa" sheetId="6" r:id="rId6"/>
    <sheet name="06_Cat_Ocupacion" sheetId="7" r:id="rId7"/>
    <sheet name="07_Grupo_Ocupacional" sheetId="8" r:id="rId8"/>
    <sheet name="08_Rama_Actividad" sheetId="9" r:id="rId9"/>
    <sheet name="09_Variables_Continuas" sheetId="10" r:id="rId10"/>
  </sheets>
  <calcPr calcId="162913"/>
</workbook>
</file>

<file path=xl/calcChain.xml><?xml version="1.0" encoding="utf-8"?>
<calcChain xmlns="http://schemas.openxmlformats.org/spreadsheetml/2006/main">
  <c r="F1" i="8" l="1"/>
  <c r="F1" i="9"/>
  <c r="F26" i="9" s="1"/>
  <c r="H26" i="9"/>
  <c r="G26" i="9"/>
  <c r="G27" i="9"/>
  <c r="H27" i="9"/>
  <c r="G28" i="9"/>
  <c r="H28" i="9"/>
  <c r="G29" i="9"/>
  <c r="H29" i="9"/>
  <c r="G30" i="9"/>
  <c r="H30" i="9"/>
  <c r="G31" i="9"/>
  <c r="H31" i="9"/>
  <c r="G32" i="9"/>
  <c r="H32" i="9"/>
  <c r="G33" i="9"/>
  <c r="H33" i="9"/>
  <c r="F33" i="9"/>
  <c r="F32" i="9"/>
  <c r="F31" i="9"/>
  <c r="F30" i="9"/>
  <c r="F29" i="9"/>
  <c r="F28" i="9"/>
  <c r="F27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" i="9"/>
  <c r="F1" i="7"/>
  <c r="G2" i="6"/>
  <c r="G3" i="6"/>
  <c r="G1" i="6"/>
  <c r="F2" i="5"/>
  <c r="F3" i="5"/>
  <c r="F4" i="5"/>
  <c r="F5" i="5"/>
  <c r="F6" i="5"/>
  <c r="F7" i="5"/>
  <c r="F1" i="5"/>
  <c r="F3" i="4" l="1"/>
  <c r="F4" i="4"/>
  <c r="F5" i="4"/>
  <c r="F6" i="4"/>
  <c r="F7" i="4"/>
  <c r="F2" i="4"/>
  <c r="F1" i="4"/>
  <c r="C6" i="2"/>
  <c r="B6" i="2"/>
  <c r="F2" i="2"/>
  <c r="F3" i="2"/>
  <c r="F1" i="2"/>
  <c r="B6" i="3"/>
  <c r="F2" i="3"/>
  <c r="F3" i="3"/>
  <c r="F1" i="3"/>
</calcChain>
</file>

<file path=xl/sharedStrings.xml><?xml version="1.0" encoding="utf-8"?>
<sst xmlns="http://schemas.openxmlformats.org/spreadsheetml/2006/main" count="175" uniqueCount="95">
  <si>
    <t>target_label</t>
  </si>
  <si>
    <t>Frecuencia Absoluta</t>
  </si>
  <si>
    <t>Porcentaje (%)</t>
  </si>
  <si>
    <t>Formal (1)</t>
  </si>
  <si>
    <t>Informal (0)</t>
  </si>
  <si>
    <t>Total</t>
  </si>
  <si>
    <t>Sexo (p02)</t>
  </si>
  <si>
    <t>% Col Formal (1)</t>
  </si>
  <si>
    <t>% Col Informal (0)</t>
  </si>
  <si>
    <t>Hombre</t>
  </si>
  <si>
    <t>Mujer</t>
  </si>
  <si>
    <t>Área Geográfica</t>
  </si>
  <si>
    <t>Rural</t>
  </si>
  <si>
    <t>Urbana</t>
  </si>
  <si>
    <t>Estado Civil (p06)</t>
  </si>
  <si>
    <t>Casado(a)</t>
  </si>
  <si>
    <t>Divorciado(a)</t>
  </si>
  <si>
    <t>Separado(a)</t>
  </si>
  <si>
    <t>Soltero(a)</t>
  </si>
  <si>
    <t>Unión libre</t>
  </si>
  <si>
    <t>Viudo(a)</t>
  </si>
  <si>
    <t>Nivel Instrucción (nnivins)</t>
  </si>
  <si>
    <t>Centro de Alfabetización</t>
  </si>
  <si>
    <t>Educación Básica</t>
  </si>
  <si>
    <t>Educación Media/Bachillerato</t>
  </si>
  <si>
    <t>Ninguno</t>
  </si>
  <si>
    <t>Superior</t>
  </si>
  <si>
    <t>Tamaño Establecimiento (p47a)</t>
  </si>
  <si>
    <t>100 y más</t>
  </si>
  <si>
    <t>Menos de 100</t>
  </si>
  <si>
    <t>Categoría Ocupación (p42)</t>
  </si>
  <si>
    <t>Ayudante no remunerado de asalariado</t>
  </si>
  <si>
    <t>Cuenta Propia</t>
  </si>
  <si>
    <t>Empleado de gobierno</t>
  </si>
  <si>
    <t>Empleado privado</t>
  </si>
  <si>
    <t>Jornalero o peón</t>
  </si>
  <si>
    <t>Patrono</t>
  </si>
  <si>
    <t>Trabajador del hogar no remunerado</t>
  </si>
  <si>
    <t>Trabajador no del hogar no remunerado</t>
  </si>
  <si>
    <t>Grupo Ocupacional (grupo1)</t>
  </si>
  <si>
    <t>Empleados de oficina</t>
  </si>
  <si>
    <t>Fuerzas Armadas</t>
  </si>
  <si>
    <t>Oficiales operarios y artesanos</t>
  </si>
  <si>
    <t>Operadores de instalac. máquinas y montad.</t>
  </si>
  <si>
    <t>Personal direct./admin. pública y empresas</t>
  </si>
  <si>
    <t>Profesionales científicos e intelectuales</t>
  </si>
  <si>
    <t>Trabajad. calificados agropecuarios y pesqueros</t>
  </si>
  <si>
    <t>Trabajad. de los servicios y comerciantes</t>
  </si>
  <si>
    <t>Trabajadores no calificados, ocupaciones elementales</t>
  </si>
  <si>
    <t>Técnicos y profesionales de nivel medio</t>
  </si>
  <si>
    <t>Rama Actividad (rama1)</t>
  </si>
  <si>
    <t>A. Agricultura, ganadería, silvicultura y pesca</t>
  </si>
  <si>
    <t>B. Explotación de minas y canteras</t>
  </si>
  <si>
    <t>C. Industrias manufactureras</t>
  </si>
  <si>
    <t>D. Suministros de electricidad, gas</t>
  </si>
  <si>
    <t>E. Distribución de agua, alcantarillado</t>
  </si>
  <si>
    <t>F. Construcción</t>
  </si>
  <si>
    <t>G. Comercio y reparación de vehículos</t>
  </si>
  <si>
    <t>H. Transporte y almacenamiento</t>
  </si>
  <si>
    <t>I. Actividades de alojamiento y servicios de comida</t>
  </si>
  <si>
    <t>J. Información y comunicación</t>
  </si>
  <si>
    <t>K. Actividades financieras y de seguros</t>
  </si>
  <si>
    <t>L. Actividades inmobiliarias</t>
  </si>
  <si>
    <t>M. Actividades profesionales, científicas y técnicas</t>
  </si>
  <si>
    <t>N. Actividades y servicios administrativos</t>
  </si>
  <si>
    <t>O. Administración pública, defensa y seg. social</t>
  </si>
  <si>
    <t>P. Enseñanza</t>
  </si>
  <si>
    <t>Q. Actividades de atención de la salud humana</t>
  </si>
  <si>
    <t>R. Artes, entretenimiento y recreación</t>
  </si>
  <si>
    <t>S. Otras actividades de servicios</t>
  </si>
  <si>
    <t>T. Hogares privados con servicio doméstico</t>
  </si>
  <si>
    <t>U. Actividades organizaciones extraterritoriales</t>
  </si>
  <si>
    <t>Variable</t>
  </si>
  <si>
    <t>count</t>
  </si>
  <si>
    <t>mean</t>
  </si>
  <si>
    <t>std</t>
  </si>
  <si>
    <t>min</t>
  </si>
  <si>
    <t>25%</t>
  </si>
  <si>
    <t>50%</t>
  </si>
  <si>
    <t>75%</t>
  </si>
  <si>
    <t>max</t>
  </si>
  <si>
    <t>Edad (p03)</t>
  </si>
  <si>
    <t>Horas Semanales (p24)</t>
  </si>
  <si>
    <t>Promedio</t>
  </si>
  <si>
    <t>Desviación estandar</t>
  </si>
  <si>
    <t>Mediana</t>
  </si>
  <si>
    <t>Ayudante no remunerado</t>
  </si>
  <si>
    <t>Trabajador no del hogar</t>
  </si>
  <si>
    <t>Trabajador del hogar</t>
  </si>
  <si>
    <t>Operadores de inst. máq</t>
  </si>
  <si>
    <t>Personal directivo</t>
  </si>
  <si>
    <t>Profesionales científicos</t>
  </si>
  <si>
    <t>Trab. agropecuarios y pesqueros</t>
  </si>
  <si>
    <t>Trab. servicios y comerciantes</t>
  </si>
  <si>
    <t>Trab. no calificados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</si>
</sst>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Border="1"/>
    <xf numFmtId="164" fontId="0" fillId="0" borderId="1" xfId="1" applyNumberFormat="1" applyFont="1" applyBorder="1" applyAlignment="1">
      <alignment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0" fontId="0" fillId="0" borderId="0" xfId="1" applyNumberFormat="1" applyFont="1" applyAlignment="1">
      <alignment vertical="center" wrapText="1"/>
    </xf>
    <xf numFmtId="0" fontId="1" fillId="0" borderId="5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164" fontId="0" fillId="0" borderId="0" xfId="1" applyNumberFormat="1" applyFont="1"/>
    <xf numFmtId="9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Disitribución</a:t>
            </a:r>
            <a:r>
              <a:rPr lang="en-US" baseline="0"/>
              <a:t> global empleo por sectores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'00_Target_General'!$B$2</c:f>
              <c:strCache>
                <c:ptCount val="1"/>
                <c:pt idx="0">
                  <c:v>Frecuencia Absoluta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'00_Target_General'!$A$3:$A$4</c:f>
              <c:strCache>
                <c:ptCount val="2"/>
                <c:pt idx="0">
                  <c:v>Formal (1)</c:v>
                </c:pt>
                <c:pt idx="1">
                  <c:v>Informal (0)</c:v>
                </c:pt>
              </c:strCache>
            </c:strRef>
          </c:cat>
          <c:val>
            <c:numRef>
              <c:f>'00_Target_General'!$B$3:$B$4</c:f>
              <c:numCache>
                <c:formatCode>General</c:formatCode>
                <c:ptCount val="2"/>
                <c:pt idx="0">
                  <c:v>83557</c:v>
                </c:pt>
                <c:pt idx="1">
                  <c:v>70773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2-48B4-8D86-739B348306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8855215"/>
        <c:axId val="808856463"/>
      </c:barChart>
      <c:catAx>
        <c:axId val="80885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856463"/>
        <c:crosses val="autoZero"/>
        <c:auto val="1"/>
        <c:lblAlgn val="ctr"/>
        <c:lblOffset val="100"/>
        <c:noMultiLvlLbl val="0"/>
      </c:catAx>
      <c:valAx>
        <c:axId val="8088564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0885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'01_Sexo'!$G$1</c:f>
              <c:strCache>
                <c:ptCount val="1"/>
                <c:pt idx="0">
                  <c:v>Formal 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'01_Sexo'!$F$2:$F$3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'01_Sexo'!$G$2:$G$3</c:f>
              <c:numCache>
                <c:formatCode>General</c:formatCode>
                <c:ptCount val="2"/>
                <c:pt idx="0">
                  <c:v>53.71</c:v>
                </c:pt>
                <c:pt idx="1">
                  <c:v>54.71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A-4CB6-AEBD-9E3886DF3D88}"/>
            </c:ext>
          </c:extLst>
        </c:ser>
        <c:ser>
          <c:idx val="1"/>
          <c:order val="1"/>
          <c:tx>
            <c:strRef>
              <c:f>'01_Sexo'!$H$1</c:f>
              <c:strCache>
                <c:ptCount val="1"/>
                <c:pt idx="0">
                  <c:v>Informal (0)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'01_Sexo'!$F$2:$F$3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'01_Sexo'!$H$2:$H$3</c:f>
              <c:numCache>
                <c:formatCode>General</c:formatCode>
                <c:ptCount val="2"/>
                <c:pt idx="0">
                  <c:v>46.29</c:v>
                </c:pt>
                <c:pt idx="1">
                  <c:v>45.29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A-4CB6-AEBD-9E3886DF3D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2647087"/>
        <c:axId val="862652495"/>
      </c:barChart>
      <c:catAx>
        <c:axId val="86264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52495"/>
        <c:crosses val="autoZero"/>
        <c:auto val="1"/>
        <c:lblAlgn val="ctr"/>
        <c:lblOffset val="100"/>
        <c:noMultiLvlLbl val="0"/>
      </c:catAx>
      <c:valAx>
        <c:axId val="862652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264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'02_Area'!$G$1</c:f>
              <c:strCache>
                <c:ptCount val="1"/>
                <c:pt idx="0">
                  <c:v>Formal (1)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'02_Area'!$F$2:$F$3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'02_Area'!$G$2:$G$3</c:f>
              <c:numCache>
                <c:formatCode>0.0%</c:formatCode>
                <c:ptCount val="2"/>
                <c:pt idx="0">
                  <c:v>0.29020000000000001</c:v>
                </c:pt>
                <c:pt idx="1">
                  <c:v>0.64469999999999994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5-48A5-A080-1614AFF6A144}"/>
            </c:ext>
          </c:extLst>
        </c:ser>
        <c:ser>
          <c:idx val="1"/>
          <c:order val="1"/>
          <c:tx>
            <c:strRef>
              <c:f>'02_Area'!$H$1</c:f>
              <c:strCache>
                <c:ptCount val="1"/>
                <c:pt idx="0">
                  <c:v>Informal (0)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'02_Area'!$F$2:$F$3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'02_Area'!$H$2:$H$3</c:f>
              <c:numCache>
                <c:formatCode>0.0%</c:formatCode>
                <c:ptCount val="2"/>
                <c:pt idx="0">
                  <c:v>0.70979999999999999</c:v>
                </c:pt>
                <c:pt idx="1">
                  <c:v>0.3553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55-48A5-A080-1614AFF6A1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2650831"/>
        <c:axId val="862651247"/>
      </c:barChart>
      <c:catAx>
        <c:axId val="86265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51247"/>
        <c:crosses val="autoZero"/>
        <c:auto val="1"/>
        <c:lblAlgn val="ctr"/>
        <c:lblOffset val="100"/>
        <c:noMultiLvlLbl val="0"/>
      </c:catAx>
      <c:valAx>
        <c:axId val="862651247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86265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</a:t>
            </a:r>
            <a:r>
              <a:rPr lang="en-US" baseline="0"/>
              <a:t> del sector de empleo por estado civil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5705790297339595"/>
          <c:w val="0.93888888888888888"/>
          <c:h val="0.554532796076546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'03_Estado_Civil'!$G$1</c:f>
              <c:strCache>
                <c:ptCount val="1"/>
                <c:pt idx="0">
                  <c:v>Formal (1)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'03_Estado_Civil'!$F$2:$F$7</c:f>
              <c:strCache>
                <c:ptCount val="6"/>
                <c:pt idx="0">
                  <c:v>Casado(a)</c:v>
                </c:pt>
                <c:pt idx="1">
                  <c:v>Divorciado(a)</c:v>
                </c:pt>
                <c:pt idx="2">
                  <c:v>Separado(a)</c:v>
                </c:pt>
                <c:pt idx="3">
                  <c:v>Soltero(a)</c:v>
                </c:pt>
                <c:pt idx="4">
                  <c:v>Unión libre</c:v>
                </c:pt>
                <c:pt idx="5">
                  <c:v>Viudo(a)</c:v>
                </c:pt>
              </c:strCache>
            </c:strRef>
          </c:cat>
          <c:val>
            <c:numRef>
              <c:f>'03_Estado_Civil'!$G$2:$G$7</c:f>
              <c:numCache>
                <c:formatCode>0.00%</c:formatCode>
                <c:ptCount val="6"/>
                <c:pt idx="0">
                  <c:v>0.56359999999999999</c:v>
                </c:pt>
                <c:pt idx="1">
                  <c:v>0.65410000000000001</c:v>
                </c:pt>
                <c:pt idx="2">
                  <c:v>0.44409999999999994</c:v>
                </c:pt>
                <c:pt idx="3">
                  <c:v>0.57469999999999999</c:v>
                </c:pt>
                <c:pt idx="4">
                  <c:v>0.50109999999999999</c:v>
                </c:pt>
                <c:pt idx="5">
                  <c:v>0.28249999999999997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5-4738-A7A4-ACABB1DB2284}"/>
            </c:ext>
          </c:extLst>
        </c:ser>
        <c:ser>
          <c:idx val="1"/>
          <c:order val="1"/>
          <c:tx>
            <c:strRef>
              <c:f>'03_Estado_Civil'!$H$1</c:f>
              <c:strCache>
                <c:ptCount val="1"/>
                <c:pt idx="0">
                  <c:v>Informal (0)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'03_Estado_Civil'!$F$2:$F$7</c:f>
              <c:strCache>
                <c:ptCount val="6"/>
                <c:pt idx="0">
                  <c:v>Casado(a)</c:v>
                </c:pt>
                <c:pt idx="1">
                  <c:v>Divorciado(a)</c:v>
                </c:pt>
                <c:pt idx="2">
                  <c:v>Separado(a)</c:v>
                </c:pt>
                <c:pt idx="3">
                  <c:v>Soltero(a)</c:v>
                </c:pt>
                <c:pt idx="4">
                  <c:v>Unión libre</c:v>
                </c:pt>
                <c:pt idx="5">
                  <c:v>Viudo(a)</c:v>
                </c:pt>
              </c:strCache>
            </c:strRef>
          </c:cat>
          <c:val>
            <c:numRef>
              <c:f>'03_Estado_Civil'!$H$2:$H$7</c:f>
              <c:numCache>
                <c:formatCode>0.00%</c:formatCode>
                <c:ptCount val="6"/>
                <c:pt idx="0">
                  <c:v>0.43640000000000001</c:v>
                </c:pt>
                <c:pt idx="1">
                  <c:v>0.34590000000000004</c:v>
                </c:pt>
                <c:pt idx="2">
                  <c:v>0.55590000000000006</c:v>
                </c:pt>
                <c:pt idx="3">
                  <c:v>0.42530000000000001</c:v>
                </c:pt>
                <c:pt idx="4">
                  <c:v>0.49890000000000001</c:v>
                </c:pt>
                <c:pt idx="5">
                  <c:v>0.71750000000000003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5-4738-A7A4-ACABB1DB22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874231551"/>
        <c:axId val="874225727"/>
      </c:barChart>
      <c:catAx>
        <c:axId val="87423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225727"/>
        <c:crosses val="autoZero"/>
        <c:auto val="1"/>
        <c:lblAlgn val="ctr"/>
        <c:lblOffset val="100"/>
        <c:noMultiLvlLbl val="0"/>
      </c:catAx>
      <c:valAx>
        <c:axId val="87422572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87423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defRPr>
            </a:pPr>
            <a:r>
              <a:rPr lang="en-US"/>
              <a:t>Sector de empleo por nivel de instrucción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+mn-ea"/>
              <a:cs typeface="Calibri Light" panose="020F03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'04_Nivel_Educativo'!$G$1</c:f>
              <c:strCache>
                <c:ptCount val="1"/>
                <c:pt idx="0">
                  <c:v>Formal 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 Light" panose="020F0302020204030204" pitchFamily="34" charset="0"/>
                    <a:ea typeface="+mn-ea"/>
                    <a:cs typeface="Calibri Light" panose="020F03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'04_Nivel_Educativo'!$F$2:$F$6</c:f>
              <c:strCache>
                <c:ptCount val="5"/>
                <c:pt idx="0">
                  <c:v>Centro de Alfabetización</c:v>
                </c:pt>
                <c:pt idx="1">
                  <c:v>Educación Básica</c:v>
                </c:pt>
                <c:pt idx="2">
                  <c:v>Educación Media/Bachillerato</c:v>
                </c:pt>
                <c:pt idx="3">
                  <c:v>Ninguno</c:v>
                </c:pt>
                <c:pt idx="4">
                  <c:v>Superior</c:v>
                </c:pt>
              </c:strCache>
            </c:strRef>
          </c:cat>
          <c:val>
            <c:numRef>
              <c:f>'04_Nivel_Educativo'!$G$2:$G$6</c:f>
              <c:numCache>
                <c:formatCode>0.0%</c:formatCode>
                <c:ptCount val="5"/>
                <c:pt idx="0">
                  <c:v>6.8600000000000008E-2</c:v>
                </c:pt>
                <c:pt idx="1">
                  <c:v>0.27750000000000002</c:v>
                </c:pt>
                <c:pt idx="2">
                  <c:v>0.55610000000000004</c:v>
                </c:pt>
                <c:pt idx="3">
                  <c:v>9.5700000000000007E-2</c:v>
                </c:pt>
                <c:pt idx="4">
                  <c:v>0.83889999999999998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6-4B13-9F0E-13AAF48931CA}"/>
            </c:ext>
          </c:extLst>
        </c:ser>
        <c:ser>
          <c:idx val="1"/>
          <c:order val="1"/>
          <c:tx>
            <c:strRef>
              <c:f>'04_Nivel_Educativo'!$H$1</c:f>
              <c:strCache>
                <c:ptCount val="1"/>
                <c:pt idx="0">
                  <c:v>Informal (0)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 Light" panose="020F0302020204030204" pitchFamily="34" charset="0"/>
                    <a:ea typeface="+mn-ea"/>
                    <a:cs typeface="Calibri Light" panose="020F03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'04_Nivel_Educativo'!$F$2:$F$6</c:f>
              <c:strCache>
                <c:ptCount val="5"/>
                <c:pt idx="0">
                  <c:v>Centro de Alfabetización</c:v>
                </c:pt>
                <c:pt idx="1">
                  <c:v>Educación Básica</c:v>
                </c:pt>
                <c:pt idx="2">
                  <c:v>Educación Media/Bachillerato</c:v>
                </c:pt>
                <c:pt idx="3">
                  <c:v>Ninguno</c:v>
                </c:pt>
                <c:pt idx="4">
                  <c:v>Superior</c:v>
                </c:pt>
              </c:strCache>
            </c:strRef>
          </c:cat>
          <c:val>
            <c:numRef>
              <c:f>'04_Nivel_Educativo'!$H$2:$H$6</c:f>
              <c:numCache>
                <c:formatCode>0.0%</c:formatCode>
                <c:ptCount val="5"/>
                <c:pt idx="0">
                  <c:v>0.93140000000000001</c:v>
                </c:pt>
                <c:pt idx="1">
                  <c:v>0.72250000000000003</c:v>
                </c:pt>
                <c:pt idx="2">
                  <c:v>0.44390000000000002</c:v>
                </c:pt>
                <c:pt idx="3">
                  <c:v>0.9043000000000001</c:v>
                </c:pt>
                <c:pt idx="4">
                  <c:v>0.16109999999999999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76-4B13-9F0E-13AAF48931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937377487"/>
        <c:axId val="1937380399"/>
      </c:barChart>
      <c:catAx>
        <c:axId val="193737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defRPr>
            </a:pPr>
            <a:endParaRPr lang="en-US"/>
          </a:p>
        </c:txPr>
        <c:crossAx val="1937380399"/>
        <c:crosses val="autoZero"/>
        <c:auto val="1"/>
        <c:lblAlgn val="ctr"/>
        <c:lblOffset val="100"/>
        <c:noMultiLvlLbl val="0"/>
      </c:catAx>
      <c:valAx>
        <c:axId val="1937380399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93737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+mn-ea"/>
              <a:cs typeface="Calibri Light" panose="020F03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 Light" panose="020F0302020204030204" pitchFamily="34" charset="0"/>
          <a:cs typeface="Calibri Light" panose="020F03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defRPr>
            </a:pPr>
            <a:r>
              <a:rPr lang="en-US"/>
              <a:t>Sector de empleo por tamaño del establecimiento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+mn-ea"/>
              <a:cs typeface="Calibri Light" panose="020F03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'05_Tamano_Empresa'!$H$1</c:f>
              <c:strCache>
                <c:ptCount val="1"/>
                <c:pt idx="0">
                  <c:v>Formal 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 Light" panose="020F0302020204030204" pitchFamily="34" charset="0"/>
                    <a:ea typeface="+mn-ea"/>
                    <a:cs typeface="Calibri Light" panose="020F03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'05_Tamano_Empresa'!$G$2:$G$3</c:f>
              <c:strCache>
                <c:ptCount val="2"/>
                <c:pt idx="0">
                  <c:v>100 y más</c:v>
                </c:pt>
                <c:pt idx="1">
                  <c:v>Menos de 100</c:v>
                </c:pt>
              </c:strCache>
            </c:strRef>
          </c:cat>
          <c:val>
            <c:numRef>
              <c:f>'05_Tamano_Empresa'!$H$2:$H$3</c:f>
              <c:numCache>
                <c:formatCode>0.0%</c:formatCode>
                <c:ptCount val="2"/>
                <c:pt idx="0">
                  <c:v>1</c:v>
                </c:pt>
                <c:pt idx="1">
                  <c:v>0.43390000000000001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7-4793-9ADC-237E4436DC59}"/>
            </c:ext>
          </c:extLst>
        </c:ser>
        <c:ser>
          <c:idx val="1"/>
          <c:order val="1"/>
          <c:tx>
            <c:strRef>
              <c:f>'05_Tamano_Empresa'!$I$1</c:f>
              <c:strCache>
                <c:ptCount val="1"/>
                <c:pt idx="0">
                  <c:v>Informal (0)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 Light" panose="020F0302020204030204" pitchFamily="34" charset="0"/>
                    <a:ea typeface="+mn-ea"/>
                    <a:cs typeface="Calibri Light" panose="020F03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'05_Tamano_Empresa'!$G$2:$G$3</c:f>
              <c:strCache>
                <c:ptCount val="2"/>
                <c:pt idx="0">
                  <c:v>100 y más</c:v>
                </c:pt>
                <c:pt idx="1">
                  <c:v>Menos de 100</c:v>
                </c:pt>
              </c:strCache>
            </c:strRef>
          </c:cat>
          <c:val>
            <c:numRef>
              <c:f>'05_Tamano_Empresa'!$I$2:$I$3</c:f>
              <c:numCache>
                <c:formatCode>0.0%</c:formatCode>
                <c:ptCount val="2"/>
                <c:pt idx="0">
                  <c:v>0</c:v>
                </c:pt>
                <c:pt idx="1">
                  <c:v>0.56610000000000005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7-4793-9ADC-237E4436DC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5073615"/>
        <c:axId val="1945074447"/>
      </c:barChart>
      <c:catAx>
        <c:axId val="194507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defRPr>
            </a:pPr>
            <a:endParaRPr lang="en-US"/>
          </a:p>
        </c:txPr>
        <c:crossAx val="1945074447"/>
        <c:crosses val="autoZero"/>
        <c:auto val="1"/>
        <c:lblAlgn val="ctr"/>
        <c:lblOffset val="100"/>
        <c:noMultiLvlLbl val="0"/>
      </c:catAx>
      <c:valAx>
        <c:axId val="1945074447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94507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+mn-ea"/>
              <a:cs typeface="Calibri Light" panose="020F03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Calibri Light" panose="020F0302020204030204" pitchFamily="34" charset="0"/>
          <a:cs typeface="Calibri Light" panose="020F03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Sector de empleo por categoría</a:t>
            </a:r>
            <a:r>
              <a:rPr lang="en-US" baseline="0"/>
              <a:t> de ocupación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'06_Cat_Ocupacion'!$G$1</c:f>
              <c:strCache>
                <c:ptCount val="1"/>
                <c:pt idx="0">
                  <c:v>Formal 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'06_Cat_Ocupacion'!$F$2:$F$7</c:f>
              <c:strCache>
                <c:ptCount val="6"/>
                <c:pt idx="0">
                  <c:v>Ayudante no remunerado</c:v>
                </c:pt>
                <c:pt idx="1">
                  <c:v>Cuenta Propia</c:v>
                </c:pt>
                <c:pt idx="2">
                  <c:v>Empleado de gobierno</c:v>
                </c:pt>
                <c:pt idx="3">
                  <c:v>Empleado privado</c:v>
                </c:pt>
                <c:pt idx="4">
                  <c:v>Jornalero o peón</c:v>
                </c:pt>
                <c:pt idx="5">
                  <c:v>Patrono</c:v>
                </c:pt>
              </c:strCache>
            </c:strRef>
          </c:cat>
          <c:val>
            <c:numRef>
              <c:f>'06_Cat_Ocupacion'!$G$2:$G$7</c:f>
              <c:numCache>
                <c:formatCode>0.0%</c:formatCode>
                <c:ptCount val="6"/>
                <c:pt idx="0">
                  <c:v>0.2409</c:v>
                </c:pt>
                <c:pt idx="1">
                  <c:v>0.28239999999999998</c:v>
                </c:pt>
                <c:pt idx="2">
                  <c:v>1</c:v>
                </c:pt>
                <c:pt idx="3">
                  <c:v>0.90810000000000002</c:v>
                </c:pt>
                <c:pt idx="4">
                  <c:v>0.12</c:v>
                </c:pt>
                <c:pt idx="5">
                  <c:v>0.80889999999999995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5-4AC0-B09D-4BCF83D01B05}"/>
            </c:ext>
          </c:extLst>
        </c:ser>
        <c:ser>
          <c:idx val="1"/>
          <c:order val="1"/>
          <c:tx>
            <c:strRef>
              <c:f>'06_Cat_Ocupacion'!$H$1</c:f>
              <c:strCache>
                <c:ptCount val="1"/>
                <c:pt idx="0">
                  <c:v>Informal (0)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'06_Cat_Ocupacion'!$F$2:$F$7</c:f>
              <c:strCache>
                <c:ptCount val="6"/>
                <c:pt idx="0">
                  <c:v>Ayudante no remunerado</c:v>
                </c:pt>
                <c:pt idx="1">
                  <c:v>Cuenta Propia</c:v>
                </c:pt>
                <c:pt idx="2">
                  <c:v>Empleado de gobierno</c:v>
                </c:pt>
                <c:pt idx="3">
                  <c:v>Empleado privado</c:v>
                </c:pt>
                <c:pt idx="4">
                  <c:v>Jornalero o peón</c:v>
                </c:pt>
                <c:pt idx="5">
                  <c:v>Patrono</c:v>
                </c:pt>
              </c:strCache>
            </c:strRef>
          </c:cat>
          <c:val>
            <c:numRef>
              <c:f>'06_Cat_Ocupacion'!$H$2:$H$7</c:f>
              <c:numCache>
                <c:formatCode>0.0%</c:formatCode>
                <c:ptCount val="6"/>
                <c:pt idx="0">
                  <c:v>0.7591</c:v>
                </c:pt>
                <c:pt idx="1">
                  <c:v>0.71760000000000002</c:v>
                </c:pt>
                <c:pt idx="2">
                  <c:v>0</c:v>
                </c:pt>
                <c:pt idx="3">
                  <c:v>9.1899999999999996E-2</c:v>
                </c:pt>
                <c:pt idx="4">
                  <c:v>0.88</c:v>
                </c:pt>
                <c:pt idx="5">
                  <c:v>0.19109999999999999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5-4AC0-B09D-4BCF83D01B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933230687"/>
        <c:axId val="1936036831"/>
      </c:barChart>
      <c:catAx>
        <c:axId val="193323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36831"/>
        <c:crosses val="autoZero"/>
        <c:auto val="1"/>
        <c:lblAlgn val="ctr"/>
        <c:lblOffset val="100"/>
        <c:noMultiLvlLbl val="0"/>
      </c:catAx>
      <c:valAx>
        <c:axId val="193603683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3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'07_Grupo_Ocupacional'!$G$1</c:f>
              <c:strCache>
                <c:ptCount val="1"/>
                <c:pt idx="0">
                  <c:v>Formal 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'07_Grupo_Ocupacional'!$F$3:$F$12</c:f>
              <c:strCache>
                <c:ptCount val="9"/>
                <c:pt idx="0">
                  <c:v>Fuerzas Armadas</c:v>
                </c:pt>
                <c:pt idx="1">
                  <c:v>Oficiales operarios y artesanos</c:v>
                </c:pt>
                <c:pt idx="2">
                  <c:v>Operadores de inst. máq</c:v>
                </c:pt>
                <c:pt idx="3">
                  <c:v>Personal directivo</c:v>
                </c:pt>
                <c:pt idx="4">
                  <c:v>Profesionales científicos</c:v>
                </c:pt>
                <c:pt idx="5">
                  <c:v>Trab. agropecuarios y pesqueros</c:v>
                </c:pt>
                <c:pt idx="6">
                  <c:v>Trab. servicios y comerciantes</c:v>
                </c:pt>
                <c:pt idx="7">
                  <c:v>Trab. no calificados</c:v>
                </c:pt>
                <c:pt idx="8">
                  <c:v>Técnicos y profesionales de nivel medio</c:v>
                </c:pt>
              </c:strCache>
            </c:strRef>
          </c:cat>
          <c:val>
            <c:numRef>
              <c:f>'07_Grupo_Ocupacional'!$G$3:$G$12</c:f>
              <c:numCache>
                <c:formatCode>General</c:formatCode>
                <c:ptCount val="10"/>
                <c:pt idx="0">
                  <c:v>100</c:v>
                </c:pt>
                <c:pt idx="1">
                  <c:v>46.52</c:v>
                </c:pt>
                <c:pt idx="2">
                  <c:v>64.87</c:v>
                </c:pt>
                <c:pt idx="3">
                  <c:v>99.37</c:v>
                </c:pt>
                <c:pt idx="4">
                  <c:v>92.42</c:v>
                </c:pt>
                <c:pt idx="5">
                  <c:v>16.260000000000002</c:v>
                </c:pt>
                <c:pt idx="6">
                  <c:v>67.150000000000006</c:v>
                </c:pt>
                <c:pt idx="7">
                  <c:v>25.29</c:v>
                </c:pt>
                <c:pt idx="8">
                  <c:v>90.75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B-4232-87C6-A3F038C0CEBD}"/>
            </c:ext>
          </c:extLst>
        </c:ser>
        <c:ser>
          <c:idx val="1"/>
          <c:order val="1"/>
          <c:tx>
            <c:strRef>
              <c:f>'07_Grupo_Ocupacional'!$H$1</c:f>
              <c:strCache>
                <c:ptCount val="1"/>
                <c:pt idx="0">
                  <c:v>Informal (0)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7B-4232-87C6-A3F038C0CE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'07_Grupo_Ocupacional'!$F$3:$F$12</c:f>
              <c:strCache>
                <c:ptCount val="9"/>
                <c:pt idx="0">
                  <c:v>Fuerzas Armadas</c:v>
                </c:pt>
                <c:pt idx="1">
                  <c:v>Oficiales operarios y artesanos</c:v>
                </c:pt>
                <c:pt idx="2">
                  <c:v>Operadores de inst. máq</c:v>
                </c:pt>
                <c:pt idx="3">
                  <c:v>Personal directivo</c:v>
                </c:pt>
                <c:pt idx="4">
                  <c:v>Profesionales científicos</c:v>
                </c:pt>
                <c:pt idx="5">
                  <c:v>Trab. agropecuarios y pesqueros</c:v>
                </c:pt>
                <c:pt idx="6">
                  <c:v>Trab. servicios y comerciantes</c:v>
                </c:pt>
                <c:pt idx="7">
                  <c:v>Trab. no calificados</c:v>
                </c:pt>
                <c:pt idx="8">
                  <c:v>Técnicos y profesionales de nivel medio</c:v>
                </c:pt>
              </c:strCache>
            </c:strRef>
          </c:cat>
          <c:val>
            <c:numRef>
              <c:f>'07_Grupo_Ocupacional'!$H$3:$H$12</c:f>
              <c:numCache>
                <c:formatCode>General</c:formatCode>
                <c:ptCount val="10"/>
                <c:pt idx="0">
                  <c:v>0</c:v>
                </c:pt>
                <c:pt idx="1">
                  <c:v>53.48</c:v>
                </c:pt>
                <c:pt idx="2">
                  <c:v>35.130000000000003</c:v>
                </c:pt>
                <c:pt idx="3">
                  <c:v>0.63</c:v>
                </c:pt>
                <c:pt idx="4">
                  <c:v>7.58</c:v>
                </c:pt>
                <c:pt idx="5">
                  <c:v>83.74</c:v>
                </c:pt>
                <c:pt idx="6">
                  <c:v>32.85</c:v>
                </c:pt>
                <c:pt idx="7">
                  <c:v>74.709999999999994</c:v>
                </c:pt>
                <c:pt idx="8">
                  <c:v>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B-4232-87C6-A3F038C0CE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1945071951"/>
        <c:axId val="1945074031"/>
      </c:barChart>
      <c:catAx>
        <c:axId val="1945071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74031"/>
        <c:crosses val="autoZero"/>
        <c:auto val="1"/>
        <c:lblAlgn val="ctr"/>
        <c:lblOffset val="100"/>
        <c:noMultiLvlLbl val="0"/>
      </c:catAx>
      <c:valAx>
        <c:axId val="19450740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4507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Sectores de empleo por rama de actividad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'08_Rama_Actividad'!$G$26</c:f>
              <c:strCache>
                <c:ptCount val="1"/>
                <c:pt idx="0">
                  <c:v>Formal 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'08_Rama_Actividad'!$F$27:$F$33</c:f>
              <c:strCache>
                <c:ptCount val="7"/>
                <c:pt idx="0">
                  <c:v>D. Suministros de electricidad, gas</c:v>
                </c:pt>
                <c:pt idx="1">
                  <c:v>E. Distribución de agua, alcantarillado</c:v>
                </c:pt>
                <c:pt idx="2">
                  <c:v>J. Información y comunicación</c:v>
                </c:pt>
                <c:pt idx="3">
                  <c:v>K. Actividades financieras y de seguros</c:v>
                </c:pt>
                <c:pt idx="4">
                  <c:v>O. Administración pública, defensa y seg. social</c:v>
                </c:pt>
                <c:pt idx="5">
                  <c:v>P. Enseñanza</c:v>
                </c:pt>
                <c:pt idx="6">
                  <c:v>Q. Actividades de atención de la salud humana</c:v>
                </c:pt>
              </c:strCache>
            </c:strRef>
          </c:cat>
          <c:val>
            <c:numRef>
              <c:f>'08_Rama_Actividad'!$G$27:$G$33</c:f>
              <c:numCache>
                <c:formatCode>General</c:formatCode>
                <c:ptCount val="7"/>
                <c:pt idx="0">
                  <c:v>91.36</c:v>
                </c:pt>
                <c:pt idx="1">
                  <c:v>96.32</c:v>
                </c:pt>
                <c:pt idx="2">
                  <c:v>90.53</c:v>
                </c:pt>
                <c:pt idx="3">
                  <c:v>97.36</c:v>
                </c:pt>
                <c:pt idx="4">
                  <c:v>99.84</c:v>
                </c:pt>
                <c:pt idx="5">
                  <c:v>94.21</c:v>
                </c:pt>
                <c:pt idx="6">
                  <c:v>89.44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7-4D99-9A3F-9611D544B5A2}"/>
            </c:ext>
          </c:extLst>
        </c:ser>
        <c:ser>
          <c:idx val="1"/>
          <c:order val="1"/>
          <c:tx>
            <c:strRef>
              <c:f>'08_Rama_Actividad'!$H$26</c:f>
              <c:strCache>
                <c:ptCount val="1"/>
                <c:pt idx="0">
                  <c:v>Informal (0)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'08_Rama_Actividad'!$F$27:$F$33</c:f>
              <c:strCache>
                <c:ptCount val="7"/>
                <c:pt idx="0">
                  <c:v>D. Suministros de electricidad, gas</c:v>
                </c:pt>
                <c:pt idx="1">
                  <c:v>E. Distribución de agua, alcantarillado</c:v>
                </c:pt>
                <c:pt idx="2">
                  <c:v>J. Información y comunicación</c:v>
                </c:pt>
                <c:pt idx="3">
                  <c:v>K. Actividades financieras y de seguros</c:v>
                </c:pt>
                <c:pt idx="4">
                  <c:v>O. Administración pública, defensa y seg. social</c:v>
                </c:pt>
                <c:pt idx="5">
                  <c:v>P. Enseñanza</c:v>
                </c:pt>
                <c:pt idx="6">
                  <c:v>Q. Actividades de atención de la salud humana</c:v>
                </c:pt>
              </c:strCache>
            </c:strRef>
          </c:cat>
          <c:val>
            <c:numRef>
              <c:f>'08_Rama_Actividad'!$H$27:$H$33</c:f>
              <c:numCache>
                <c:formatCode>General</c:formatCode>
                <c:ptCount val="7"/>
                <c:pt idx="0">
                  <c:v>8.64</c:v>
                </c:pt>
                <c:pt idx="1">
                  <c:v>3.68</c:v>
                </c:pt>
                <c:pt idx="2">
                  <c:v>9.4700000000000006</c:v>
                </c:pt>
                <c:pt idx="3">
                  <c:v>2.64</c:v>
                </c:pt>
                <c:pt idx="4">
                  <c:v>0.16</c:v>
                </c:pt>
                <c:pt idx="5">
                  <c:v>5.79</c:v>
                </c:pt>
                <c:pt idx="6">
                  <c:v>10.56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7-4D99-9A3F-9611D544B5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1945050975"/>
        <c:axId val="1945058879"/>
      </c:barChart>
      <c:catAx>
        <c:axId val="1945050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58879"/>
        <c:crosses val="autoZero"/>
        <c:auto val="1"/>
        <c:lblAlgn val="ctr"/>
        <c:lblOffset val="100"/>
        <c:noMultiLvlLbl val="0"/>
      </c:catAx>
      <c:valAx>
        <c:axId val="194505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5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</a:t>
            </a:r>
            <a:r>
              <a:rPr lang="en-US" baseline="0"/>
              <a:t> por edad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'09_Variables_Continuas'!$B$2</c:f>
              <c:strCache>
                <c:ptCount val="1"/>
                <c:pt idx="0">
                  <c:v>Formal (1)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'09_Variables_Continuas'!$C$1:$F$1</c:f>
              <c:strCache>
                <c:ptCount val="4"/>
                <c:pt idx="0">
                  <c:v>Promedio</c:v>
                </c:pt>
                <c:pt idx="1">
                  <c:v>Desviación estandar</c:v>
                </c:pt>
                <c:pt idx="2">
                  <c:v>min</c:v>
                </c:pt>
                <c:pt idx="3">
                  <c:v>Mediana</c:v>
                </c:pt>
              </c:strCache>
            </c:strRef>
          </c:cat>
          <c:val>
            <c:numRef>
              <c:f>'09_Variables_Continuas'!$C$2:$F$2</c:f>
              <c:numCache>
                <c:formatCode>General</c:formatCode>
                <c:ptCount val="4"/>
                <c:pt idx="0">
                  <c:v>41.05</c:v>
                </c:pt>
                <c:pt idx="1">
                  <c:v>13.62</c:v>
                </c:pt>
                <c:pt idx="2">
                  <c:v>15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B-4892-A0D6-3E82FDFFD3B7}"/>
            </c:ext>
          </c:extLst>
        </c:ser>
        <c:ser>
          <c:idx val="1"/>
          <c:order val="1"/>
          <c:tx>
            <c:strRef>
              <c:f>'09_Variables_Continuas'!$B$3</c:f>
              <c:strCache>
                <c:ptCount val="1"/>
                <c:pt idx="0">
                  <c:v>Informal (0)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'09_Variables_Continuas'!$C$1:$F$1</c:f>
              <c:strCache>
                <c:ptCount val="4"/>
                <c:pt idx="0">
                  <c:v>Promedio</c:v>
                </c:pt>
                <c:pt idx="1">
                  <c:v>Desviación estandar</c:v>
                </c:pt>
                <c:pt idx="2">
                  <c:v>min</c:v>
                </c:pt>
                <c:pt idx="3">
                  <c:v>Mediana</c:v>
                </c:pt>
              </c:strCache>
            </c:strRef>
          </c:cat>
          <c:val>
            <c:numRef>
              <c:f>'09_Variables_Continuas'!$C$3:$F$3</c:f>
              <c:numCache>
                <c:formatCode>General</c:formatCode>
                <c:ptCount val="4"/>
                <c:pt idx="0">
                  <c:v>46.2</c:v>
                </c:pt>
                <c:pt idx="1">
                  <c:v>17.260000000000002</c:v>
                </c:pt>
                <c:pt idx="2">
                  <c:v>15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8B-4892-A0D6-3E82FDFFD3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926930527"/>
        <c:axId val="926918463"/>
      </c:barChart>
      <c:catAx>
        <c:axId val="92693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918463"/>
        <c:crosses val="autoZero"/>
        <c:auto val="1"/>
        <c:lblAlgn val="ctr"/>
        <c:lblOffset val="100"/>
        <c:noMultiLvlLbl val="0"/>
      </c:catAx>
      <c:valAx>
        <c:axId val="9269184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693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Sector de empleo por horas semanales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'09_Variables_Continuas'!$B$9</c:f>
              <c:strCache>
                <c:ptCount val="1"/>
                <c:pt idx="0">
                  <c:v>Formal (1)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'09_Variables_Continuas'!$C$1:$F$1</c:f>
              <c:strCache>
                <c:ptCount val="4"/>
                <c:pt idx="0">
                  <c:v>Promedio</c:v>
                </c:pt>
                <c:pt idx="1">
                  <c:v>Desviación estandar</c:v>
                </c:pt>
                <c:pt idx="2">
                  <c:v>min</c:v>
                </c:pt>
                <c:pt idx="3">
                  <c:v>Mediana</c:v>
                </c:pt>
              </c:strCache>
            </c:strRef>
          </c:cat>
          <c:val>
            <c:numRef>
              <c:f>'09_Variables_Continuas'!$C$9:$F$9</c:f>
              <c:numCache>
                <c:formatCode>General</c:formatCode>
                <c:ptCount val="4"/>
                <c:pt idx="0">
                  <c:v>39.92</c:v>
                </c:pt>
                <c:pt idx="1">
                  <c:v>12.02</c:v>
                </c:pt>
                <c:pt idx="2">
                  <c:v>1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9-412B-AADA-F3BD55A5CDE1}"/>
            </c:ext>
          </c:extLst>
        </c:ser>
        <c:ser>
          <c:idx val="1"/>
          <c:order val="1"/>
          <c:tx>
            <c:strRef>
              <c:f>'09_Variables_Continuas'!$B$10</c:f>
              <c:strCache>
                <c:ptCount val="1"/>
                <c:pt idx="0">
                  <c:v>Informal (0)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'09_Variables_Continuas'!$C$1:$F$1</c:f>
              <c:strCache>
                <c:ptCount val="4"/>
                <c:pt idx="0">
                  <c:v>Promedio</c:v>
                </c:pt>
                <c:pt idx="1">
                  <c:v>Desviación estandar</c:v>
                </c:pt>
                <c:pt idx="2">
                  <c:v>min</c:v>
                </c:pt>
                <c:pt idx="3">
                  <c:v>Mediana</c:v>
                </c:pt>
              </c:strCache>
            </c:strRef>
          </c:cat>
          <c:val>
            <c:numRef>
              <c:f>'09_Variables_Continuas'!$C$10:$F$10</c:f>
              <c:numCache>
                <c:formatCode>General</c:formatCode>
                <c:ptCount val="4"/>
                <c:pt idx="0">
                  <c:v>29.64</c:v>
                </c:pt>
                <c:pt idx="1">
                  <c:v>14.41</c:v>
                </c:pt>
                <c:pt idx="2">
                  <c:v>1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29-412B-AADA-F3BD55A5CD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926930527"/>
        <c:axId val="926918463"/>
      </c:barChart>
      <c:catAx>
        <c:axId val="92693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918463"/>
        <c:crosses val="autoZero"/>
        <c:auto val="1"/>
        <c:lblAlgn val="ctr"/>
        <c:lblOffset val="100"/>
        <c:noMultiLvlLbl val="0"/>
      </c:catAx>
      <c:valAx>
        <c:axId val="9269184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693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3</xdr:row>
      <xdr:rowOff>161925</xdr:rowOff>
    </xdr:from>
    <xdr:to>
      <xdr:col>11</xdr:col>
      <xdr:colOff>133350</xdr:colOff>
      <xdr:row>18</xdr:row>
      <xdr:rowOff>47625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3</xdr:row>
      <xdr:rowOff>161925</xdr:rowOff>
    </xdr:from>
    <xdr:to>
      <xdr:col>9</xdr:col>
      <xdr:colOff>800100</xdr:colOff>
      <xdr:row>12</xdr:row>
      <xdr:rowOff>142875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5</xdr:row>
      <xdr:rowOff>180975</xdr:rowOff>
    </xdr:from>
    <xdr:to>
      <xdr:col>9</xdr:col>
      <xdr:colOff>180975</xdr:colOff>
      <xdr:row>18</xdr:row>
      <xdr:rowOff>47625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8</xdr:row>
      <xdr:rowOff>171449</xdr:rowOff>
    </xdr:from>
    <xdr:to>
      <xdr:col>11</xdr:col>
      <xdr:colOff>323850</xdr:colOff>
      <xdr:row>19</xdr:row>
      <xdr:rowOff>104774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7</xdr:row>
      <xdr:rowOff>142875</xdr:rowOff>
    </xdr:from>
    <xdr:to>
      <xdr:col>11</xdr:col>
      <xdr:colOff>38100</xdr:colOff>
      <xdr:row>19</xdr:row>
      <xdr:rowOff>85725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4</xdr:row>
      <xdr:rowOff>114300</xdr:rowOff>
    </xdr:from>
    <xdr:to>
      <xdr:col>12</xdr:col>
      <xdr:colOff>276225</xdr:colOff>
      <xdr:row>15</xdr:row>
      <xdr:rowOff>104775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1752600</xdr:colOff>
      <xdr:row>8</xdr:row>
      <xdr:rowOff>19050</xdr:rowOff>
    </xdr:from>
    <xdr:to>
      <xdr:col>5</xdr:col>
      <xdr:colOff>19050</xdr:colOff>
      <xdr:row>18</xdr:row>
      <xdr:rowOff>161925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13</xdr:row>
      <xdr:rowOff>28575</xdr:rowOff>
    </xdr:from>
    <xdr:to>
      <xdr:col>8</xdr:col>
      <xdr:colOff>152400</xdr:colOff>
      <xdr:row>27</xdr:row>
      <xdr:rowOff>104775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24</xdr:row>
      <xdr:rowOff>85725</xdr:rowOff>
    </xdr:from>
    <xdr:to>
      <xdr:col>4</xdr:col>
      <xdr:colOff>600076</xdr:colOff>
      <xdr:row>36</xdr:row>
      <xdr:rowOff>57150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0</xdr:row>
      <xdr:rowOff>152400</xdr:rowOff>
    </xdr:from>
    <xdr:to>
      <xdr:col>12</xdr:col>
      <xdr:colOff>247650</xdr:colOff>
      <xdr:row>10</xdr:row>
      <xdr:rowOff>85725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5</xdr:col>
      <xdr:colOff>0</xdr:colOff>
      <xdr:row>27</xdr:row>
      <xdr:rowOff>114300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"/>
  <sheetViews>
    <sheetView tabSelected="1" workbookViewId="0">
      <selection activeCell="O23" sqref="O23"/>
    </sheetView>
  </sheetViews>
  <sheetFormatPr baseColWidth="10" defaultColWidth="9.140625" defaultRowHeight="15" x14ac:dyDescent="0.25"/>
  <cols>
    <col min="1" max="1" width="25.42578125" style="4" customWidth="1"/>
    <col min="2" max="2" width="14.7109375" style="4" customWidth="1"/>
    <col min="3" max="3" width="15" style="4" customWidth="1"/>
  </cols>
  <sheetData>
    <row r="2" spans="1:3" ht="30" x14ac:dyDescent="0.25">
      <c r="A2" s="3" t="s">
        <v>0</v>
      </c>
      <c r="B2" s="3" t="s">
        <v>1</v>
      </c>
      <c r="C2" s="3" t="s">
        <v>2</v>
      </c>
    </row>
    <row r="3" spans="1:3" x14ac:dyDescent="0.25">
      <c r="A3" s="3" t="s">
        <v>3</v>
      </c>
      <c r="B3" s="6">
        <v>83557</v>
      </c>
      <c r="C3" s="6">
        <v>54.14</v>
      </c>
    </row>
    <row r="4" spans="1:3" x14ac:dyDescent="0.25">
      <c r="A4" s="3" t="s">
        <v>4</v>
      </c>
      <c r="B4" s="6">
        <v>70773</v>
      </c>
      <c r="C4" s="6">
        <v>45.86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C6" sqref="C6"/>
    </sheetView>
  </sheetViews>
  <sheetFormatPr baseColWidth="10" defaultColWidth="9.140625" defaultRowHeight="15" x14ac:dyDescent="0.25"/>
  <cols>
    <col min="1" max="4" width="13.140625" style="4" customWidth="1"/>
    <col min="5" max="5" width="13.140625" style="15" customWidth="1"/>
    <col min="6" max="11" width="13.140625" style="4" customWidth="1"/>
  </cols>
  <sheetData>
    <row r="1" spans="1:11" ht="30" x14ac:dyDescent="0.25">
      <c r="A1" s="3" t="s">
        <v>6</v>
      </c>
      <c r="B1" s="3" t="s">
        <v>3</v>
      </c>
      <c r="C1" s="3" t="s">
        <v>4</v>
      </c>
      <c r="D1" s="12" t="s">
        <v>5</v>
      </c>
      <c r="E1" s="14"/>
      <c r="F1" s="16" t="str">
        <f>+A1</f>
        <v>Sexo (p02)</v>
      </c>
      <c r="G1" s="16" t="s">
        <v>3</v>
      </c>
      <c r="H1" s="16" t="s">
        <v>4</v>
      </c>
      <c r="I1" s="18"/>
      <c r="J1" s="13" t="s">
        <v>7</v>
      </c>
      <c r="K1" s="3" t="s">
        <v>8</v>
      </c>
    </row>
    <row r="2" spans="1:11" x14ac:dyDescent="0.25">
      <c r="A2" s="3" t="s">
        <v>9</v>
      </c>
      <c r="B2" s="4">
        <v>47093</v>
      </c>
      <c r="C2" s="4">
        <v>40593</v>
      </c>
      <c r="D2" s="4">
        <v>87686</v>
      </c>
      <c r="F2" s="16" t="str">
        <f t="shared" ref="F2:F3" si="0">+A2</f>
        <v>Hombre</v>
      </c>
      <c r="G2" s="17">
        <v>53.71</v>
      </c>
      <c r="H2" s="17">
        <v>46.29</v>
      </c>
      <c r="I2" s="19"/>
      <c r="J2" s="4">
        <v>56.36</v>
      </c>
      <c r="K2" s="4">
        <v>57.36</v>
      </c>
    </row>
    <row r="3" spans="1:11" x14ac:dyDescent="0.25">
      <c r="A3" s="3" t="s">
        <v>10</v>
      </c>
      <c r="B3" s="4">
        <v>36464</v>
      </c>
      <c r="C3" s="4">
        <v>30180</v>
      </c>
      <c r="D3" s="4">
        <v>66644</v>
      </c>
      <c r="F3" s="16" t="str">
        <f t="shared" si="0"/>
        <v>Mujer</v>
      </c>
      <c r="G3" s="17">
        <v>54.71</v>
      </c>
      <c r="H3" s="17">
        <v>45.29</v>
      </c>
      <c r="I3" s="19"/>
      <c r="J3" s="4">
        <v>43.64</v>
      </c>
      <c r="K3" s="4">
        <v>42.64</v>
      </c>
    </row>
    <row r="4" spans="1:11" x14ac:dyDescent="0.25">
      <c r="A4" s="3" t="s">
        <v>5</v>
      </c>
      <c r="B4" s="4">
        <v>83557</v>
      </c>
      <c r="C4" s="4">
        <v>70773</v>
      </c>
      <c r="D4" s="4">
        <v>154330</v>
      </c>
    </row>
    <row r="6" spans="1:11" x14ac:dyDescent="0.25">
      <c r="B6" s="4">
        <f>+B2/B4</f>
        <v>0.56360328877293342</v>
      </c>
      <c r="C6" s="4">
        <f>+C2/D2</f>
        <v>0.46293593047920989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B6" sqref="B6"/>
    </sheetView>
  </sheetViews>
  <sheetFormatPr baseColWidth="10" defaultColWidth="9.140625" defaultRowHeight="15" x14ac:dyDescent="0.25"/>
  <cols>
    <col min="2" max="4" width="14.85546875" customWidth="1"/>
    <col min="5" max="5" width="11.28515625" style="10" customWidth="1"/>
    <col min="6" max="6" width="18" customWidth="1"/>
    <col min="7" max="10" width="14.85546875" customWidth="1"/>
  </cols>
  <sheetData>
    <row r="1" spans="1:10" ht="30" x14ac:dyDescent="0.25">
      <c r="A1" s="1" t="s">
        <v>11</v>
      </c>
      <c r="B1" s="1" t="s">
        <v>3</v>
      </c>
      <c r="C1" s="1" t="s">
        <v>4</v>
      </c>
      <c r="D1" s="9" t="s">
        <v>5</v>
      </c>
      <c r="E1" s="8"/>
      <c r="F1" s="3" t="str">
        <f>+A1</f>
        <v>Área Geográfica</v>
      </c>
      <c r="G1" s="3" t="s">
        <v>3</v>
      </c>
      <c r="H1" s="3" t="s">
        <v>4</v>
      </c>
      <c r="I1" s="3" t="s">
        <v>7</v>
      </c>
      <c r="J1" s="3" t="s">
        <v>8</v>
      </c>
    </row>
    <row r="2" spans="1:10" x14ac:dyDescent="0.25">
      <c r="A2" s="1" t="s">
        <v>12</v>
      </c>
      <c r="B2">
        <v>13050</v>
      </c>
      <c r="C2">
        <v>31920</v>
      </c>
      <c r="D2">
        <v>44970</v>
      </c>
      <c r="F2" s="3" t="str">
        <f t="shared" ref="F2:F3" si="0">+A2</f>
        <v>Rural</v>
      </c>
      <c r="G2" s="11">
        <v>0.29020000000000001</v>
      </c>
      <c r="H2" s="11">
        <v>0.70979999999999999</v>
      </c>
      <c r="I2" s="6">
        <v>15.62</v>
      </c>
      <c r="J2" s="6">
        <v>45.1</v>
      </c>
    </row>
    <row r="3" spans="1:10" x14ac:dyDescent="0.25">
      <c r="A3" s="1" t="s">
        <v>13</v>
      </c>
      <c r="B3">
        <v>70507</v>
      </c>
      <c r="C3">
        <v>38853</v>
      </c>
      <c r="D3">
        <v>109360</v>
      </c>
      <c r="F3" s="3" t="str">
        <f t="shared" si="0"/>
        <v>Urbana</v>
      </c>
      <c r="G3" s="11">
        <v>0.64469999999999994</v>
      </c>
      <c r="H3" s="11">
        <v>0.3553</v>
      </c>
      <c r="I3" s="6">
        <v>84.38</v>
      </c>
      <c r="J3" s="6">
        <v>54.9</v>
      </c>
    </row>
    <row r="4" spans="1:10" x14ac:dyDescent="0.25">
      <c r="A4" s="1" t="s">
        <v>5</v>
      </c>
      <c r="B4">
        <v>83557</v>
      </c>
      <c r="C4">
        <v>70773</v>
      </c>
      <c r="D4">
        <v>154330</v>
      </c>
      <c r="F4" s="8"/>
    </row>
    <row r="6" spans="1:10" x14ac:dyDescent="0.25">
      <c r="B6">
        <f>+B2/D2</f>
        <v>0.29019346230820547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N8" sqref="N8"/>
    </sheetView>
  </sheetViews>
  <sheetFormatPr baseColWidth="10" defaultColWidth="9.140625" defaultRowHeight="15" x14ac:dyDescent="0.25"/>
  <cols>
    <col min="1" max="1" width="21.7109375" style="4" customWidth="1"/>
    <col min="2" max="5" width="9.140625" style="4"/>
    <col min="6" max="6" width="14.7109375" style="4" customWidth="1"/>
    <col min="7" max="12" width="9.140625" style="4"/>
  </cols>
  <sheetData>
    <row r="1" spans="1:12" ht="45" x14ac:dyDescent="0.25">
      <c r="A1" s="3" t="s">
        <v>14</v>
      </c>
      <c r="B1" s="3" t="s">
        <v>3</v>
      </c>
      <c r="C1" s="3" t="s">
        <v>4</v>
      </c>
      <c r="D1" s="3" t="s">
        <v>5</v>
      </c>
      <c r="E1" s="3"/>
      <c r="F1" s="3" t="str">
        <f>+A1</f>
        <v>Estado Civil (p06)</v>
      </c>
      <c r="G1" s="16" t="s">
        <v>3</v>
      </c>
      <c r="H1" s="16" t="s">
        <v>4</v>
      </c>
      <c r="I1" s="3"/>
      <c r="J1" s="3"/>
      <c r="K1" s="3" t="s">
        <v>7</v>
      </c>
      <c r="L1" s="3" t="s">
        <v>8</v>
      </c>
    </row>
    <row r="2" spans="1:12" x14ac:dyDescent="0.25">
      <c r="A2" s="3" t="s">
        <v>15</v>
      </c>
      <c r="B2" s="4">
        <v>29507</v>
      </c>
      <c r="C2" s="4">
        <v>22851</v>
      </c>
      <c r="D2" s="4">
        <v>52358</v>
      </c>
      <c r="F2" s="4" t="str">
        <f>+A2</f>
        <v>Casado(a)</v>
      </c>
      <c r="G2" s="20">
        <v>0.56359999999999999</v>
      </c>
      <c r="H2" s="20">
        <v>0.43640000000000001</v>
      </c>
      <c r="K2" s="4">
        <v>35.31</v>
      </c>
      <c r="L2" s="4">
        <v>32.29</v>
      </c>
    </row>
    <row r="3" spans="1:12" x14ac:dyDescent="0.25">
      <c r="A3" s="3" t="s">
        <v>16</v>
      </c>
      <c r="B3" s="4">
        <v>4637</v>
      </c>
      <c r="C3" s="4">
        <v>2452</v>
      </c>
      <c r="D3" s="4">
        <v>7089</v>
      </c>
      <c r="F3" s="4" t="str">
        <f t="shared" ref="F3:F7" si="0">+A3</f>
        <v>Divorciado(a)</v>
      </c>
      <c r="G3" s="20">
        <v>0.65410000000000001</v>
      </c>
      <c r="H3" s="20">
        <v>0.34590000000000004</v>
      </c>
      <c r="K3" s="4">
        <v>5.55</v>
      </c>
      <c r="L3" s="4">
        <v>3.46</v>
      </c>
    </row>
    <row r="4" spans="1:12" x14ac:dyDescent="0.25">
      <c r="A4" s="3" t="s">
        <v>17</v>
      </c>
      <c r="B4" s="4">
        <v>4710</v>
      </c>
      <c r="C4" s="4">
        <v>5896</v>
      </c>
      <c r="D4" s="4">
        <v>10606</v>
      </c>
      <c r="F4" s="4" t="str">
        <f t="shared" si="0"/>
        <v>Separado(a)</v>
      </c>
      <c r="G4" s="20">
        <v>0.44409999999999994</v>
      </c>
      <c r="H4" s="20">
        <v>0.55590000000000006</v>
      </c>
      <c r="K4" s="4">
        <v>5.64</v>
      </c>
      <c r="L4" s="4">
        <v>8.33</v>
      </c>
    </row>
    <row r="5" spans="1:12" x14ac:dyDescent="0.25">
      <c r="A5" s="3" t="s">
        <v>18</v>
      </c>
      <c r="B5" s="4">
        <v>27955</v>
      </c>
      <c r="C5" s="4">
        <v>20692</v>
      </c>
      <c r="D5" s="4">
        <v>48647</v>
      </c>
      <c r="F5" s="4" t="str">
        <f t="shared" si="0"/>
        <v>Soltero(a)</v>
      </c>
      <c r="G5" s="20">
        <v>0.57469999999999999</v>
      </c>
      <c r="H5" s="20">
        <v>0.42530000000000001</v>
      </c>
      <c r="K5" s="4">
        <v>33.46</v>
      </c>
      <c r="L5" s="4">
        <v>29.24</v>
      </c>
    </row>
    <row r="6" spans="1:12" x14ac:dyDescent="0.25">
      <c r="A6" s="3" t="s">
        <v>19</v>
      </c>
      <c r="B6" s="4">
        <v>15319</v>
      </c>
      <c r="C6" s="4">
        <v>15252</v>
      </c>
      <c r="D6" s="4">
        <v>30571</v>
      </c>
      <c r="F6" s="4" t="str">
        <f t="shared" si="0"/>
        <v>Unión libre</v>
      </c>
      <c r="G6" s="20">
        <v>0.50109999999999999</v>
      </c>
      <c r="H6" s="20">
        <v>0.49890000000000001</v>
      </c>
      <c r="K6" s="4">
        <v>18.329999999999998</v>
      </c>
      <c r="L6" s="4">
        <v>21.55</v>
      </c>
    </row>
    <row r="7" spans="1:12" x14ac:dyDescent="0.25">
      <c r="A7" s="3" t="s">
        <v>20</v>
      </c>
      <c r="B7" s="4">
        <v>1429</v>
      </c>
      <c r="C7" s="4">
        <v>3630</v>
      </c>
      <c r="D7" s="4">
        <v>5059</v>
      </c>
      <c r="F7" s="4" t="str">
        <f t="shared" si="0"/>
        <v>Viudo(a)</v>
      </c>
      <c r="G7" s="20">
        <v>0.28249999999999997</v>
      </c>
      <c r="H7" s="20">
        <v>0.71750000000000003</v>
      </c>
      <c r="K7" s="4">
        <v>1.71</v>
      </c>
      <c r="L7" s="4">
        <v>5.13</v>
      </c>
    </row>
    <row r="8" spans="1:12" x14ac:dyDescent="0.25">
      <c r="A8" s="3" t="s">
        <v>5</v>
      </c>
      <c r="B8" s="4">
        <v>83557</v>
      </c>
      <c r="C8" s="4">
        <v>70773</v>
      </c>
      <c r="D8" s="4">
        <v>154330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opLeftCell="A4" workbookViewId="0">
      <selection activeCell="B24" sqref="B24"/>
    </sheetView>
  </sheetViews>
  <sheetFormatPr baseColWidth="10" defaultColWidth="9.140625" defaultRowHeight="15" x14ac:dyDescent="0.25"/>
  <cols>
    <col min="1" max="1" width="24.7109375" style="4" customWidth="1"/>
    <col min="2" max="3" width="13.140625" style="4" customWidth="1"/>
    <col min="4" max="5" width="9.140625" style="4"/>
    <col min="6" max="6" width="17.140625" style="4" customWidth="1"/>
    <col min="7" max="12" width="9.140625" style="4"/>
  </cols>
  <sheetData>
    <row r="1" spans="1:14" ht="45" x14ac:dyDescent="0.25">
      <c r="A1" s="3" t="s">
        <v>21</v>
      </c>
      <c r="B1" s="3" t="s">
        <v>3</v>
      </c>
      <c r="C1" s="3" t="s">
        <v>4</v>
      </c>
      <c r="D1" s="3" t="s">
        <v>5</v>
      </c>
      <c r="E1" s="3"/>
      <c r="F1" s="3" t="str">
        <f>+A1</f>
        <v>Nivel Instrucción (nnivins)</v>
      </c>
      <c r="G1" s="3" t="s">
        <v>3</v>
      </c>
      <c r="H1" s="3" t="s">
        <v>4</v>
      </c>
      <c r="I1" s="3"/>
      <c r="J1" s="3"/>
      <c r="K1" s="3" t="s">
        <v>7</v>
      </c>
      <c r="L1" s="3" t="s">
        <v>8</v>
      </c>
    </row>
    <row r="2" spans="1:14" ht="30" x14ac:dyDescent="0.25">
      <c r="A2" s="3" t="s">
        <v>22</v>
      </c>
      <c r="B2" s="4">
        <v>19</v>
      </c>
      <c r="C2" s="4">
        <v>258</v>
      </c>
      <c r="D2" s="4">
        <v>277</v>
      </c>
      <c r="F2" s="3" t="str">
        <f t="shared" ref="F2:F7" si="0">+A2</f>
        <v>Centro de Alfabetización</v>
      </c>
      <c r="G2" s="25">
        <v>6.8600000000000008E-2</v>
      </c>
      <c r="H2" s="25">
        <v>0.93140000000000001</v>
      </c>
      <c r="K2" s="4">
        <v>0.02</v>
      </c>
      <c r="L2" s="4">
        <v>0.36</v>
      </c>
    </row>
    <row r="3" spans="1:14" x14ac:dyDescent="0.25">
      <c r="A3" s="3" t="s">
        <v>23</v>
      </c>
      <c r="B3" s="4">
        <v>13793</v>
      </c>
      <c r="C3" s="4">
        <v>35920</v>
      </c>
      <c r="D3" s="4">
        <v>49713</v>
      </c>
      <c r="F3" s="3" t="str">
        <f t="shared" si="0"/>
        <v>Educación Básica</v>
      </c>
      <c r="G3" s="25">
        <v>0.27750000000000002</v>
      </c>
      <c r="H3" s="25">
        <v>0.72250000000000003</v>
      </c>
      <c r="K3" s="4">
        <v>16.510000000000002</v>
      </c>
      <c r="L3" s="4">
        <v>50.75</v>
      </c>
    </row>
    <row r="4" spans="1:14" ht="45" x14ac:dyDescent="0.25">
      <c r="A4" s="3" t="s">
        <v>24</v>
      </c>
      <c r="B4" s="4">
        <v>30211</v>
      </c>
      <c r="C4" s="4">
        <v>24113</v>
      </c>
      <c r="D4" s="4">
        <v>54324</v>
      </c>
      <c r="F4" s="3" t="str">
        <f t="shared" si="0"/>
        <v>Educación Media/Bachillerato</v>
      </c>
      <c r="G4" s="25">
        <v>0.55610000000000004</v>
      </c>
      <c r="H4" s="25">
        <v>0.44390000000000002</v>
      </c>
      <c r="K4" s="4">
        <v>36.159999999999997</v>
      </c>
      <c r="L4" s="4">
        <v>34.07</v>
      </c>
    </row>
    <row r="5" spans="1:14" x14ac:dyDescent="0.25">
      <c r="A5" s="3" t="s">
        <v>25</v>
      </c>
      <c r="B5" s="4">
        <v>312</v>
      </c>
      <c r="C5" s="4">
        <v>2949</v>
      </c>
      <c r="D5" s="4">
        <v>3261</v>
      </c>
      <c r="F5" s="3" t="str">
        <f t="shared" si="0"/>
        <v>Ninguno</v>
      </c>
      <c r="G5" s="25">
        <v>9.5700000000000007E-2</v>
      </c>
      <c r="H5" s="25">
        <v>0.9043000000000001</v>
      </c>
      <c r="K5" s="4">
        <v>0.37</v>
      </c>
      <c r="L5" s="4">
        <v>4.17</v>
      </c>
    </row>
    <row r="6" spans="1:14" x14ac:dyDescent="0.25">
      <c r="A6" s="3" t="s">
        <v>26</v>
      </c>
      <c r="B6" s="4">
        <v>39222</v>
      </c>
      <c r="C6" s="4">
        <v>7533</v>
      </c>
      <c r="D6" s="4">
        <v>46755</v>
      </c>
      <c r="F6" s="3" t="str">
        <f t="shared" si="0"/>
        <v>Superior</v>
      </c>
      <c r="G6" s="25">
        <v>0.83889999999999998</v>
      </c>
      <c r="H6" s="25">
        <v>0.16109999999999999</v>
      </c>
      <c r="K6" s="4">
        <v>46.94</v>
      </c>
      <c r="L6" s="4">
        <v>10.64</v>
      </c>
    </row>
    <row r="7" spans="1:14" x14ac:dyDescent="0.25">
      <c r="A7" s="3" t="s">
        <v>5</v>
      </c>
      <c r="B7" s="4">
        <v>83557</v>
      </c>
      <c r="C7" s="4">
        <v>70773</v>
      </c>
      <c r="D7" s="4">
        <v>154330</v>
      </c>
      <c r="F7" s="3" t="str">
        <f t="shared" si="0"/>
        <v>Total</v>
      </c>
    </row>
    <row r="9" spans="1:14" x14ac:dyDescent="0.25">
      <c r="M9" s="23"/>
      <c r="N9" s="23"/>
    </row>
    <row r="10" spans="1:14" x14ac:dyDescent="0.25">
      <c r="M10" s="23"/>
      <c r="N10" s="23"/>
    </row>
    <row r="11" spans="1:14" x14ac:dyDescent="0.25">
      <c r="M11" s="23"/>
      <c r="N11" s="23"/>
    </row>
    <row r="12" spans="1:14" x14ac:dyDescent="0.25">
      <c r="M12" s="23"/>
      <c r="N12" s="23"/>
    </row>
    <row r="13" spans="1:14" x14ac:dyDescent="0.25">
      <c r="M13" s="23"/>
      <c r="N13" s="23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J13" sqref="J13"/>
    </sheetView>
  </sheetViews>
  <sheetFormatPr baseColWidth="10" defaultColWidth="9.140625" defaultRowHeight="15" x14ac:dyDescent="0.25"/>
  <cols>
    <col min="1" max="6" width="9.140625" style="4"/>
    <col min="7" max="7" width="15.28515625" style="4" customWidth="1"/>
    <col min="8" max="13" width="9.140625" style="4"/>
  </cols>
  <sheetData>
    <row r="1" spans="1:13" ht="60" x14ac:dyDescent="0.25">
      <c r="A1" s="3" t="s">
        <v>27</v>
      </c>
      <c r="B1" s="3" t="s">
        <v>3</v>
      </c>
      <c r="C1" s="3" t="s">
        <v>4</v>
      </c>
      <c r="D1" s="3" t="s">
        <v>5</v>
      </c>
      <c r="E1" s="3"/>
      <c r="F1" s="3"/>
      <c r="G1" s="3" t="str">
        <f>+A1</f>
        <v>Tamaño Establecimiento (p47a)</v>
      </c>
      <c r="H1" s="3" t="s">
        <v>3</v>
      </c>
      <c r="I1" s="3" t="s">
        <v>4</v>
      </c>
      <c r="J1" s="3"/>
      <c r="K1" s="3"/>
      <c r="L1" s="3" t="s">
        <v>7</v>
      </c>
      <c r="M1" s="3" t="s">
        <v>8</v>
      </c>
    </row>
    <row r="2" spans="1:13" ht="30" x14ac:dyDescent="0.25">
      <c r="A2" s="3" t="s">
        <v>28</v>
      </c>
      <c r="B2" s="4">
        <v>29320</v>
      </c>
      <c r="C2" s="4">
        <v>0</v>
      </c>
      <c r="D2" s="4">
        <v>29320</v>
      </c>
      <c r="G2" s="3" t="str">
        <f t="shared" ref="G2:G3" si="0">+A2</f>
        <v>100 y más</v>
      </c>
      <c r="H2" s="25">
        <v>1</v>
      </c>
      <c r="I2" s="25">
        <v>0</v>
      </c>
      <c r="J2" s="25"/>
      <c r="K2" s="25"/>
      <c r="L2" s="4">
        <v>35.090000000000003</v>
      </c>
      <c r="M2" s="4">
        <v>0</v>
      </c>
    </row>
    <row r="3" spans="1:13" ht="30" x14ac:dyDescent="0.25">
      <c r="A3" s="3" t="s">
        <v>29</v>
      </c>
      <c r="B3" s="4">
        <v>54237</v>
      </c>
      <c r="C3" s="4">
        <v>70773</v>
      </c>
      <c r="D3" s="4">
        <v>125010</v>
      </c>
      <c r="G3" s="3" t="str">
        <f t="shared" si="0"/>
        <v>Menos de 100</v>
      </c>
      <c r="H3" s="25">
        <v>0.43390000000000001</v>
      </c>
      <c r="I3" s="25">
        <v>0.56610000000000005</v>
      </c>
      <c r="J3" s="25"/>
      <c r="K3" s="25"/>
      <c r="L3" s="4">
        <v>64.91</v>
      </c>
      <c r="M3" s="4">
        <v>100</v>
      </c>
    </row>
    <row r="4" spans="1:13" x14ac:dyDescent="0.25">
      <c r="A4" s="3" t="s">
        <v>5</v>
      </c>
      <c r="B4" s="4">
        <v>83557</v>
      </c>
      <c r="C4" s="4">
        <v>70773</v>
      </c>
      <c r="D4" s="4">
        <v>154330</v>
      </c>
    </row>
    <row r="7" spans="1:13" x14ac:dyDescent="0.25">
      <c r="H7" s="24"/>
      <c r="I7" s="24"/>
      <c r="J7" s="24"/>
      <c r="K7" s="24"/>
    </row>
    <row r="8" spans="1:13" x14ac:dyDescent="0.25">
      <c r="H8" s="24"/>
      <c r="I8" s="24"/>
      <c r="J8" s="24"/>
      <c r="K8" s="24"/>
    </row>
    <row r="9" spans="1:13" x14ac:dyDescent="0.25">
      <c r="H9" s="24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F17" sqref="F17"/>
    </sheetView>
  </sheetViews>
  <sheetFormatPr baseColWidth="10" defaultColWidth="9.140625" defaultRowHeight="15" x14ac:dyDescent="0.25"/>
  <cols>
    <col min="1" max="1" width="58" customWidth="1"/>
    <col min="6" max="6" width="30.85546875" customWidth="1"/>
  </cols>
  <sheetData>
    <row r="1" spans="1:11" s="4" customFormat="1" ht="45" x14ac:dyDescent="0.25">
      <c r="A1" s="3" t="s">
        <v>30</v>
      </c>
      <c r="B1" s="3" t="s">
        <v>3</v>
      </c>
      <c r="C1" s="3" t="s">
        <v>4</v>
      </c>
      <c r="D1" s="3" t="s">
        <v>5</v>
      </c>
      <c r="E1" s="3"/>
      <c r="F1" s="3" t="str">
        <f>+A1</f>
        <v>Categoría Ocupación (p42)</v>
      </c>
      <c r="G1" s="3" t="s">
        <v>3</v>
      </c>
      <c r="H1" s="3" t="s">
        <v>4</v>
      </c>
      <c r="I1" s="3"/>
      <c r="J1" s="3" t="s">
        <v>7</v>
      </c>
      <c r="K1" s="3" t="s">
        <v>8</v>
      </c>
    </row>
    <row r="2" spans="1:11" x14ac:dyDescent="0.25">
      <c r="A2" s="1" t="s">
        <v>31</v>
      </c>
      <c r="B2">
        <v>33</v>
      </c>
      <c r="C2">
        <v>104</v>
      </c>
      <c r="D2">
        <v>137</v>
      </c>
      <c r="F2" s="3" t="s">
        <v>86</v>
      </c>
      <c r="G2" s="23">
        <v>0.2409</v>
      </c>
      <c r="H2" s="23">
        <v>0.7591</v>
      </c>
      <c r="I2" s="23"/>
      <c r="J2">
        <v>0.04</v>
      </c>
      <c r="K2">
        <v>0.15</v>
      </c>
    </row>
    <row r="3" spans="1:11" x14ac:dyDescent="0.25">
      <c r="A3" s="1" t="s">
        <v>32</v>
      </c>
      <c r="B3">
        <v>16238</v>
      </c>
      <c r="C3">
        <v>41254</v>
      </c>
      <c r="D3">
        <v>57492</v>
      </c>
      <c r="F3" s="3" t="s">
        <v>32</v>
      </c>
      <c r="G3" s="23">
        <v>0.28239999999999998</v>
      </c>
      <c r="H3" s="23">
        <v>0.71760000000000002</v>
      </c>
      <c r="I3" s="23"/>
      <c r="J3">
        <v>19.43</v>
      </c>
      <c r="K3">
        <v>58.29</v>
      </c>
    </row>
    <row r="4" spans="1:11" x14ac:dyDescent="0.25">
      <c r="A4" s="1" t="s">
        <v>33</v>
      </c>
      <c r="B4">
        <v>14908</v>
      </c>
      <c r="C4">
        <v>0</v>
      </c>
      <c r="D4">
        <v>14908</v>
      </c>
      <c r="F4" s="3" t="s">
        <v>33</v>
      </c>
      <c r="G4" s="23">
        <v>1</v>
      </c>
      <c r="H4" s="23">
        <v>0</v>
      </c>
      <c r="I4" s="23"/>
      <c r="J4">
        <v>17.84</v>
      </c>
      <c r="K4">
        <v>0</v>
      </c>
    </row>
    <row r="5" spans="1:11" x14ac:dyDescent="0.25">
      <c r="A5" s="1" t="s">
        <v>34</v>
      </c>
      <c r="B5">
        <v>42250</v>
      </c>
      <c r="C5">
        <v>4278</v>
      </c>
      <c r="D5">
        <v>46528</v>
      </c>
      <c r="F5" s="3" t="s">
        <v>34</v>
      </c>
      <c r="G5" s="23">
        <v>0.90810000000000002</v>
      </c>
      <c r="H5" s="23">
        <v>9.1899999999999996E-2</v>
      </c>
      <c r="I5" s="23"/>
      <c r="J5">
        <v>50.56</v>
      </c>
      <c r="K5">
        <v>6.04</v>
      </c>
    </row>
    <row r="6" spans="1:11" x14ac:dyDescent="0.25">
      <c r="A6" s="1" t="s">
        <v>35</v>
      </c>
      <c r="B6">
        <v>1702</v>
      </c>
      <c r="C6">
        <v>12483</v>
      </c>
      <c r="D6">
        <v>14185</v>
      </c>
      <c r="F6" s="3" t="s">
        <v>35</v>
      </c>
      <c r="G6" s="23">
        <v>0.12</v>
      </c>
      <c r="H6" s="23">
        <v>0.88</v>
      </c>
      <c r="I6" s="23"/>
      <c r="J6">
        <v>2.04</v>
      </c>
      <c r="K6">
        <v>17.64</v>
      </c>
    </row>
    <row r="7" spans="1:11" x14ac:dyDescent="0.25">
      <c r="A7" s="1" t="s">
        <v>36</v>
      </c>
      <c r="B7">
        <v>3860</v>
      </c>
      <c r="C7">
        <v>912</v>
      </c>
      <c r="D7">
        <v>4772</v>
      </c>
      <c r="F7" s="3" t="s">
        <v>36</v>
      </c>
      <c r="G7" s="23">
        <v>0.80889999999999995</v>
      </c>
      <c r="H7" s="23">
        <v>0.19109999999999999</v>
      </c>
      <c r="I7" s="23"/>
      <c r="J7">
        <v>4.62</v>
      </c>
      <c r="K7">
        <v>1.29</v>
      </c>
    </row>
    <row r="8" spans="1:11" x14ac:dyDescent="0.25">
      <c r="A8" s="1" t="s">
        <v>37</v>
      </c>
      <c r="B8">
        <v>4490</v>
      </c>
      <c r="C8">
        <v>11574</v>
      </c>
      <c r="D8">
        <v>16064</v>
      </c>
      <c r="F8" s="3" t="s">
        <v>88</v>
      </c>
      <c r="G8" s="23">
        <v>0.27949999999999997</v>
      </c>
      <c r="H8" s="23">
        <v>0.72049999999999992</v>
      </c>
      <c r="I8" s="23"/>
      <c r="J8">
        <v>5.37</v>
      </c>
      <c r="K8">
        <v>16.350000000000001</v>
      </c>
    </row>
    <row r="9" spans="1:11" x14ac:dyDescent="0.25">
      <c r="A9" s="1" t="s">
        <v>38</v>
      </c>
      <c r="B9">
        <v>73</v>
      </c>
      <c r="C9">
        <v>168</v>
      </c>
      <c r="D9">
        <v>241</v>
      </c>
      <c r="F9" s="3" t="s">
        <v>87</v>
      </c>
      <c r="G9" s="23">
        <v>0.3029</v>
      </c>
      <c r="H9" s="23">
        <v>0.69709999999999994</v>
      </c>
      <c r="I9" s="23"/>
      <c r="J9">
        <v>0.09</v>
      </c>
      <c r="K9">
        <v>0.24</v>
      </c>
    </row>
    <row r="10" spans="1:11" x14ac:dyDescent="0.25">
      <c r="A10" s="1" t="s">
        <v>5</v>
      </c>
      <c r="B10">
        <v>83557</v>
      </c>
      <c r="C10">
        <v>70773</v>
      </c>
      <c r="D10">
        <v>154330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opLeftCell="A7" workbookViewId="0">
      <selection activeCell="B23" sqref="B23"/>
    </sheetView>
  </sheetViews>
  <sheetFormatPr baseColWidth="10" defaultColWidth="9.140625" defaultRowHeight="15" x14ac:dyDescent="0.25"/>
  <cols>
    <col min="1" max="1" width="44.7109375" customWidth="1"/>
    <col min="6" max="6" width="49.42578125" bestFit="1" customWidth="1"/>
    <col min="7" max="10" width="9.85546875" style="4" customWidth="1"/>
  </cols>
  <sheetData>
    <row r="1" spans="1:12" ht="30" x14ac:dyDescent="0.25">
      <c r="A1" s="1" t="s">
        <v>39</v>
      </c>
      <c r="B1" s="1" t="s">
        <v>3</v>
      </c>
      <c r="C1" s="1" t="s">
        <v>4</v>
      </c>
      <c r="D1" s="1" t="s">
        <v>5</v>
      </c>
      <c r="E1" s="5"/>
      <c r="F1" s="5" t="str">
        <f>+A1</f>
        <v>Grupo Ocupacional (grupo1)</v>
      </c>
      <c r="G1" s="3" t="s">
        <v>3</v>
      </c>
      <c r="H1" s="3" t="s">
        <v>4</v>
      </c>
      <c r="I1" s="3"/>
      <c r="J1" s="3"/>
      <c r="K1" s="1" t="s">
        <v>7</v>
      </c>
      <c r="L1" s="1" t="s">
        <v>8</v>
      </c>
    </row>
    <row r="2" spans="1:12" x14ac:dyDescent="0.25">
      <c r="A2" s="1" t="s">
        <v>40</v>
      </c>
      <c r="B2">
        <v>5357</v>
      </c>
      <c r="C2">
        <v>181</v>
      </c>
      <c r="D2">
        <v>5538</v>
      </c>
      <c r="F2" s="5" t="s">
        <v>40</v>
      </c>
      <c r="G2" s="4">
        <v>96.73</v>
      </c>
      <c r="H2" s="4">
        <v>3.27</v>
      </c>
      <c r="K2">
        <v>6.41</v>
      </c>
      <c r="L2">
        <v>0.26</v>
      </c>
    </row>
    <row r="3" spans="1:12" x14ac:dyDescent="0.25">
      <c r="A3" s="1" t="s">
        <v>41</v>
      </c>
      <c r="B3">
        <v>538</v>
      </c>
      <c r="C3">
        <v>0</v>
      </c>
      <c r="D3">
        <v>538</v>
      </c>
      <c r="F3" s="5" t="s">
        <v>41</v>
      </c>
      <c r="G3" s="4">
        <v>100</v>
      </c>
      <c r="H3" s="4">
        <v>0</v>
      </c>
      <c r="K3">
        <v>0.64</v>
      </c>
      <c r="L3">
        <v>0</v>
      </c>
    </row>
    <row r="4" spans="1:12" x14ac:dyDescent="0.25">
      <c r="A4" s="1" t="s">
        <v>42</v>
      </c>
      <c r="B4">
        <v>8227</v>
      </c>
      <c r="C4">
        <v>9459</v>
      </c>
      <c r="D4">
        <v>17686</v>
      </c>
      <c r="F4" s="5" t="s">
        <v>42</v>
      </c>
      <c r="G4" s="4">
        <v>46.52</v>
      </c>
      <c r="H4" s="4">
        <v>53.48</v>
      </c>
      <c r="K4">
        <v>9.85</v>
      </c>
      <c r="L4">
        <v>13.37</v>
      </c>
    </row>
    <row r="5" spans="1:12" x14ac:dyDescent="0.25">
      <c r="A5" s="1" t="s">
        <v>43</v>
      </c>
      <c r="B5">
        <v>6726</v>
      </c>
      <c r="C5">
        <v>3643</v>
      </c>
      <c r="D5">
        <v>10369</v>
      </c>
      <c r="F5" s="5" t="s">
        <v>89</v>
      </c>
      <c r="G5" s="4">
        <v>64.87</v>
      </c>
      <c r="H5" s="4">
        <v>35.130000000000003</v>
      </c>
      <c r="K5">
        <v>8.0500000000000007</v>
      </c>
      <c r="L5">
        <v>5.15</v>
      </c>
    </row>
    <row r="6" spans="1:12" x14ac:dyDescent="0.25">
      <c r="A6" s="1" t="s">
        <v>44</v>
      </c>
      <c r="B6">
        <v>2523</v>
      </c>
      <c r="C6">
        <v>16</v>
      </c>
      <c r="D6">
        <v>2539</v>
      </c>
      <c r="F6" s="5" t="s">
        <v>90</v>
      </c>
      <c r="G6" s="4">
        <v>99.37</v>
      </c>
      <c r="H6" s="4">
        <v>0.63</v>
      </c>
      <c r="K6">
        <v>3.02</v>
      </c>
      <c r="L6">
        <v>0.02</v>
      </c>
    </row>
    <row r="7" spans="1:12" x14ac:dyDescent="0.25">
      <c r="A7" s="1" t="s">
        <v>45</v>
      </c>
      <c r="B7">
        <v>16274</v>
      </c>
      <c r="C7">
        <v>1335</v>
      </c>
      <c r="D7">
        <v>17609</v>
      </c>
      <c r="F7" s="5" t="s">
        <v>91</v>
      </c>
      <c r="G7" s="4">
        <v>92.42</v>
      </c>
      <c r="H7" s="4">
        <v>7.58</v>
      </c>
      <c r="K7">
        <v>19.48</v>
      </c>
      <c r="L7">
        <v>1.89</v>
      </c>
    </row>
    <row r="8" spans="1:12" x14ac:dyDescent="0.25">
      <c r="A8" s="1" t="s">
        <v>46</v>
      </c>
      <c r="B8">
        <v>4148</v>
      </c>
      <c r="C8">
        <v>21368</v>
      </c>
      <c r="D8">
        <v>25516</v>
      </c>
      <c r="F8" s="5" t="s">
        <v>92</v>
      </c>
      <c r="G8" s="4">
        <v>16.260000000000002</v>
      </c>
      <c r="H8" s="4">
        <v>83.74</v>
      </c>
      <c r="K8">
        <v>4.96</v>
      </c>
      <c r="L8">
        <v>30.19</v>
      </c>
    </row>
    <row r="9" spans="1:12" x14ac:dyDescent="0.25">
      <c r="A9" s="1" t="s">
        <v>47</v>
      </c>
      <c r="B9">
        <v>22911</v>
      </c>
      <c r="C9">
        <v>11207</v>
      </c>
      <c r="D9">
        <v>34118</v>
      </c>
      <c r="F9" s="5" t="s">
        <v>93</v>
      </c>
      <c r="G9" s="4">
        <v>67.150000000000006</v>
      </c>
      <c r="H9" s="4">
        <v>32.85</v>
      </c>
      <c r="K9">
        <v>27.42</v>
      </c>
      <c r="L9">
        <v>15.84</v>
      </c>
    </row>
    <row r="10" spans="1:12" x14ac:dyDescent="0.25">
      <c r="A10" s="1" t="s">
        <v>48</v>
      </c>
      <c r="B10">
        <v>7660</v>
      </c>
      <c r="C10">
        <v>22627</v>
      </c>
      <c r="D10">
        <v>30287</v>
      </c>
      <c r="F10" s="5" t="s">
        <v>94</v>
      </c>
      <c r="G10" s="4">
        <v>25.29</v>
      </c>
      <c r="H10" s="4">
        <v>74.709999999999994</v>
      </c>
      <c r="K10">
        <v>9.17</v>
      </c>
      <c r="L10">
        <v>31.97</v>
      </c>
    </row>
    <row r="11" spans="1:12" x14ac:dyDescent="0.25">
      <c r="A11" s="1" t="s">
        <v>49</v>
      </c>
      <c r="B11">
        <v>9193</v>
      </c>
      <c r="C11">
        <v>937</v>
      </c>
      <c r="D11">
        <v>10130</v>
      </c>
      <c r="F11" s="5" t="s">
        <v>49</v>
      </c>
      <c r="G11" s="4">
        <v>90.75</v>
      </c>
      <c r="H11" s="4">
        <v>9.25</v>
      </c>
      <c r="K11">
        <v>11</v>
      </c>
      <c r="L11">
        <v>1.32</v>
      </c>
    </row>
    <row r="12" spans="1:12" x14ac:dyDescent="0.25">
      <c r="A12" s="1" t="s">
        <v>5</v>
      </c>
      <c r="B12">
        <v>83557</v>
      </c>
      <c r="C12">
        <v>70773</v>
      </c>
      <c r="D12">
        <v>154330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19" workbookViewId="0">
      <selection activeCell="A32" sqref="A32"/>
    </sheetView>
  </sheetViews>
  <sheetFormatPr baseColWidth="10" defaultColWidth="9.140625" defaultRowHeight="15" x14ac:dyDescent="0.25"/>
  <cols>
    <col min="1" max="1" width="53.42578125" customWidth="1"/>
    <col min="6" max="6" width="46.7109375" bestFit="1" customWidth="1"/>
    <col min="8" max="10" width="10.7109375" customWidth="1"/>
  </cols>
  <sheetData>
    <row r="1" spans="1:12" s="22" customFormat="1" ht="45" x14ac:dyDescent="0.25">
      <c r="A1" s="16" t="s">
        <v>50</v>
      </c>
      <c r="B1" s="16" t="s">
        <v>3</v>
      </c>
      <c r="C1" s="16" t="s">
        <v>4</v>
      </c>
      <c r="D1" s="16" t="s">
        <v>5</v>
      </c>
      <c r="E1" s="16"/>
      <c r="F1" s="16" t="str">
        <f>+A1</f>
        <v>Rama Actividad (rama1)</v>
      </c>
      <c r="G1" s="16" t="s">
        <v>3</v>
      </c>
      <c r="H1" s="16" t="s">
        <v>4</v>
      </c>
      <c r="I1" s="16"/>
      <c r="J1" s="16"/>
      <c r="K1" s="16" t="s">
        <v>7</v>
      </c>
      <c r="L1" s="16" t="s">
        <v>8</v>
      </c>
    </row>
    <row r="2" spans="1:12" x14ac:dyDescent="0.25">
      <c r="A2" s="1" t="s">
        <v>51</v>
      </c>
      <c r="B2">
        <v>5616</v>
      </c>
      <c r="C2">
        <v>31325</v>
      </c>
      <c r="D2">
        <v>36941</v>
      </c>
      <c r="F2" t="str">
        <f>+A2</f>
        <v>A. Agricultura, ganadería, silvicultura y pesca</v>
      </c>
      <c r="G2">
        <v>15.2</v>
      </c>
      <c r="H2">
        <v>84.8</v>
      </c>
      <c r="K2">
        <v>6.72</v>
      </c>
      <c r="L2">
        <v>44.26</v>
      </c>
    </row>
    <row r="3" spans="1:12" x14ac:dyDescent="0.25">
      <c r="A3" s="1" t="s">
        <v>52</v>
      </c>
      <c r="B3">
        <v>852</v>
      </c>
      <c r="C3">
        <v>169</v>
      </c>
      <c r="D3">
        <v>1021</v>
      </c>
      <c r="F3" t="str">
        <f t="shared" ref="F3:F22" si="0">+A3</f>
        <v>B. Explotación de minas y canteras</v>
      </c>
      <c r="G3">
        <v>83.45</v>
      </c>
      <c r="H3">
        <v>16.55</v>
      </c>
      <c r="K3">
        <v>1.02</v>
      </c>
      <c r="L3">
        <v>0.24</v>
      </c>
    </row>
    <row r="4" spans="1:12" x14ac:dyDescent="0.25">
      <c r="A4" s="1" t="s">
        <v>53</v>
      </c>
      <c r="B4">
        <v>11374</v>
      </c>
      <c r="C4">
        <v>4941</v>
      </c>
      <c r="D4">
        <v>16315</v>
      </c>
      <c r="F4" t="str">
        <f t="shared" si="0"/>
        <v>C. Industrias manufactureras</v>
      </c>
      <c r="G4">
        <v>69.709999999999994</v>
      </c>
      <c r="H4">
        <v>30.29</v>
      </c>
      <c r="K4">
        <v>13.61</v>
      </c>
      <c r="L4">
        <v>6.98</v>
      </c>
    </row>
    <row r="5" spans="1:12" x14ac:dyDescent="0.25">
      <c r="A5" s="1" t="s">
        <v>54</v>
      </c>
      <c r="B5">
        <v>402</v>
      </c>
      <c r="C5">
        <v>38</v>
      </c>
      <c r="D5">
        <v>440</v>
      </c>
      <c r="F5" s="26" t="str">
        <f t="shared" si="0"/>
        <v>D. Suministros de electricidad, gas</v>
      </c>
      <c r="G5">
        <v>91.36</v>
      </c>
      <c r="H5">
        <v>8.64</v>
      </c>
      <c r="K5">
        <v>0.48</v>
      </c>
      <c r="L5">
        <v>0.05</v>
      </c>
    </row>
    <row r="6" spans="1:12" x14ac:dyDescent="0.25">
      <c r="A6" s="1" t="s">
        <v>55</v>
      </c>
      <c r="B6">
        <v>706</v>
      </c>
      <c r="C6">
        <v>27</v>
      </c>
      <c r="D6">
        <v>733</v>
      </c>
      <c r="F6" s="26" t="str">
        <f t="shared" si="0"/>
        <v>E. Distribución de agua, alcantarillado</v>
      </c>
      <c r="G6">
        <v>96.32</v>
      </c>
      <c r="H6">
        <v>3.68</v>
      </c>
      <c r="K6">
        <v>0.84</v>
      </c>
      <c r="L6">
        <v>0.04</v>
      </c>
    </row>
    <row r="7" spans="1:12" x14ac:dyDescent="0.25">
      <c r="A7" s="1" t="s">
        <v>56</v>
      </c>
      <c r="B7">
        <v>2282</v>
      </c>
      <c r="C7">
        <v>6745</v>
      </c>
      <c r="D7">
        <v>9027</v>
      </c>
      <c r="F7" t="str">
        <f t="shared" si="0"/>
        <v>F. Construcción</v>
      </c>
      <c r="G7">
        <v>25.28</v>
      </c>
      <c r="H7">
        <v>74.72</v>
      </c>
      <c r="K7">
        <v>2.73</v>
      </c>
      <c r="L7">
        <v>9.5299999999999994</v>
      </c>
    </row>
    <row r="8" spans="1:12" x14ac:dyDescent="0.25">
      <c r="A8" s="1" t="s">
        <v>57</v>
      </c>
      <c r="B8">
        <v>18801</v>
      </c>
      <c r="C8">
        <v>11192</v>
      </c>
      <c r="D8">
        <v>29993</v>
      </c>
      <c r="F8" t="str">
        <f t="shared" si="0"/>
        <v>G. Comercio y reparación de vehículos</v>
      </c>
      <c r="G8">
        <v>62.68</v>
      </c>
      <c r="H8">
        <v>37.32</v>
      </c>
      <c r="K8">
        <v>22.5</v>
      </c>
      <c r="L8">
        <v>15.81</v>
      </c>
    </row>
    <row r="9" spans="1:12" x14ac:dyDescent="0.25">
      <c r="A9" s="1" t="s">
        <v>58</v>
      </c>
      <c r="B9">
        <v>4894</v>
      </c>
      <c r="C9">
        <v>4431</v>
      </c>
      <c r="D9">
        <v>9325</v>
      </c>
      <c r="F9" t="str">
        <f t="shared" si="0"/>
        <v>H. Transporte y almacenamiento</v>
      </c>
      <c r="G9">
        <v>52.48</v>
      </c>
      <c r="H9">
        <v>47.52</v>
      </c>
      <c r="K9">
        <v>5.86</v>
      </c>
      <c r="L9">
        <v>6.26</v>
      </c>
    </row>
    <row r="10" spans="1:12" x14ac:dyDescent="0.25">
      <c r="A10" s="1" t="s">
        <v>59</v>
      </c>
      <c r="B10">
        <v>6307</v>
      </c>
      <c r="C10">
        <v>5120</v>
      </c>
      <c r="D10">
        <v>11427</v>
      </c>
      <c r="F10" t="str">
        <f t="shared" si="0"/>
        <v>I. Actividades de alojamiento y servicios de comida</v>
      </c>
      <c r="G10">
        <v>55.19</v>
      </c>
      <c r="H10">
        <v>44.81</v>
      </c>
      <c r="K10">
        <v>7.55</v>
      </c>
      <c r="L10">
        <v>7.23</v>
      </c>
    </row>
    <row r="11" spans="1:12" x14ac:dyDescent="0.25">
      <c r="A11" s="1" t="s">
        <v>60</v>
      </c>
      <c r="B11">
        <v>1405</v>
      </c>
      <c r="C11">
        <v>147</v>
      </c>
      <c r="D11">
        <v>1552</v>
      </c>
      <c r="F11" s="26" t="str">
        <f t="shared" si="0"/>
        <v>J. Información y comunicación</v>
      </c>
      <c r="G11">
        <v>90.53</v>
      </c>
      <c r="H11">
        <v>9.4700000000000006</v>
      </c>
      <c r="K11">
        <v>1.68</v>
      </c>
      <c r="L11">
        <v>0.21</v>
      </c>
    </row>
    <row r="12" spans="1:12" x14ac:dyDescent="0.25">
      <c r="A12" s="1" t="s">
        <v>61</v>
      </c>
      <c r="B12">
        <v>1622</v>
      </c>
      <c r="C12">
        <v>44</v>
      </c>
      <c r="D12">
        <v>1666</v>
      </c>
      <c r="F12" s="26" t="str">
        <f t="shared" si="0"/>
        <v>K. Actividades financieras y de seguros</v>
      </c>
      <c r="G12">
        <v>97.36</v>
      </c>
      <c r="H12">
        <v>2.64</v>
      </c>
      <c r="K12">
        <v>1.94</v>
      </c>
      <c r="L12">
        <v>0.06</v>
      </c>
    </row>
    <row r="13" spans="1:12" x14ac:dyDescent="0.25">
      <c r="A13" s="1" t="s">
        <v>62</v>
      </c>
      <c r="B13">
        <v>514</v>
      </c>
      <c r="C13">
        <v>70</v>
      </c>
      <c r="D13">
        <v>584</v>
      </c>
      <c r="F13" t="str">
        <f t="shared" si="0"/>
        <v>L. Actividades inmobiliarias</v>
      </c>
      <c r="G13">
        <v>88.01</v>
      </c>
      <c r="H13">
        <v>11.99</v>
      </c>
      <c r="K13">
        <v>0.62</v>
      </c>
      <c r="L13">
        <v>0.1</v>
      </c>
    </row>
    <row r="14" spans="1:12" x14ac:dyDescent="0.25">
      <c r="A14" s="1" t="s">
        <v>63</v>
      </c>
      <c r="B14">
        <v>3615</v>
      </c>
      <c r="C14">
        <v>664</v>
      </c>
      <c r="D14">
        <v>4279</v>
      </c>
      <c r="F14" t="str">
        <f t="shared" si="0"/>
        <v>M. Actividades profesionales, científicas y técnicas</v>
      </c>
      <c r="G14">
        <v>84.48</v>
      </c>
      <c r="H14">
        <v>15.52</v>
      </c>
      <c r="K14">
        <v>4.33</v>
      </c>
      <c r="L14">
        <v>0.94</v>
      </c>
    </row>
    <row r="15" spans="1:12" x14ac:dyDescent="0.25">
      <c r="A15" s="1" t="s">
        <v>64</v>
      </c>
      <c r="B15">
        <v>3357</v>
      </c>
      <c r="C15">
        <v>1894</v>
      </c>
      <c r="D15">
        <v>5251</v>
      </c>
      <c r="F15" t="str">
        <f t="shared" si="0"/>
        <v>N. Actividades y servicios administrativos</v>
      </c>
      <c r="G15">
        <v>63.93</v>
      </c>
      <c r="H15">
        <v>36.07</v>
      </c>
      <c r="K15">
        <v>4.0199999999999996</v>
      </c>
      <c r="L15">
        <v>2.68</v>
      </c>
    </row>
    <row r="16" spans="1:12" x14ac:dyDescent="0.25">
      <c r="A16" s="1" t="s">
        <v>65</v>
      </c>
      <c r="B16">
        <v>6348</v>
      </c>
      <c r="C16">
        <v>10</v>
      </c>
      <c r="D16">
        <v>6358</v>
      </c>
      <c r="F16" s="26" t="str">
        <f t="shared" si="0"/>
        <v>O. Administración pública, defensa y seg. social</v>
      </c>
      <c r="G16">
        <v>99.84</v>
      </c>
      <c r="H16">
        <v>0.16</v>
      </c>
      <c r="K16">
        <v>7.6</v>
      </c>
      <c r="L16">
        <v>0.01</v>
      </c>
    </row>
    <row r="17" spans="1:12" x14ac:dyDescent="0.25">
      <c r="A17" s="1" t="s">
        <v>66</v>
      </c>
      <c r="B17">
        <v>7556</v>
      </c>
      <c r="C17">
        <v>464</v>
      </c>
      <c r="D17">
        <v>8020</v>
      </c>
      <c r="F17" s="26" t="str">
        <f t="shared" si="0"/>
        <v>P. Enseñanza</v>
      </c>
      <c r="G17">
        <v>94.21</v>
      </c>
      <c r="H17">
        <v>5.79</v>
      </c>
      <c r="K17">
        <v>9.0399999999999991</v>
      </c>
      <c r="L17">
        <v>0.66</v>
      </c>
    </row>
    <row r="18" spans="1:12" x14ac:dyDescent="0.25">
      <c r="A18" s="1" t="s">
        <v>67</v>
      </c>
      <c r="B18">
        <v>4795</v>
      </c>
      <c r="C18">
        <v>566</v>
      </c>
      <c r="D18">
        <v>5361</v>
      </c>
      <c r="F18" s="26" t="str">
        <f t="shared" si="0"/>
        <v>Q. Actividades de atención de la salud humana</v>
      </c>
      <c r="G18">
        <v>89.44</v>
      </c>
      <c r="H18">
        <v>10.56</v>
      </c>
      <c r="K18">
        <v>5.74</v>
      </c>
      <c r="L18">
        <v>0.8</v>
      </c>
    </row>
    <row r="19" spans="1:12" x14ac:dyDescent="0.25">
      <c r="A19" s="1" t="s">
        <v>68</v>
      </c>
      <c r="B19">
        <v>926</v>
      </c>
      <c r="C19">
        <v>426</v>
      </c>
      <c r="D19">
        <v>1352</v>
      </c>
      <c r="F19" t="str">
        <f t="shared" si="0"/>
        <v>R. Artes, entretenimiento y recreación</v>
      </c>
      <c r="G19">
        <v>68.489999999999995</v>
      </c>
      <c r="H19">
        <v>31.51</v>
      </c>
      <c r="K19">
        <v>1.1100000000000001</v>
      </c>
      <c r="L19">
        <v>0.6</v>
      </c>
    </row>
    <row r="20" spans="1:12" x14ac:dyDescent="0.25">
      <c r="A20" s="1" t="s">
        <v>69</v>
      </c>
      <c r="B20">
        <v>2146</v>
      </c>
      <c r="C20">
        <v>2497</v>
      </c>
      <c r="D20">
        <v>4643</v>
      </c>
      <c r="F20" t="str">
        <f t="shared" si="0"/>
        <v>S. Otras actividades de servicios</v>
      </c>
      <c r="G20">
        <v>46.22</v>
      </c>
      <c r="H20">
        <v>53.78</v>
      </c>
      <c r="K20">
        <v>2.57</v>
      </c>
      <c r="L20">
        <v>3.53</v>
      </c>
    </row>
    <row r="21" spans="1:12" x14ac:dyDescent="0.25">
      <c r="A21" s="1" t="s">
        <v>70</v>
      </c>
      <c r="B21">
        <v>1</v>
      </c>
      <c r="C21">
        <v>2</v>
      </c>
      <c r="D21">
        <v>3</v>
      </c>
      <c r="F21" t="str">
        <f t="shared" si="0"/>
        <v>T. Hogares privados con servicio doméstico</v>
      </c>
      <c r="G21">
        <v>33.33</v>
      </c>
      <c r="H21">
        <v>66.67</v>
      </c>
      <c r="K21">
        <v>0</v>
      </c>
      <c r="L21">
        <v>0</v>
      </c>
    </row>
    <row r="22" spans="1:12" x14ac:dyDescent="0.25">
      <c r="A22" s="1" t="s">
        <v>71</v>
      </c>
      <c r="B22">
        <v>38</v>
      </c>
      <c r="C22">
        <v>1</v>
      </c>
      <c r="D22">
        <v>39</v>
      </c>
      <c r="F22" t="str">
        <f t="shared" si="0"/>
        <v>U. Actividades organizaciones extraterritoriales</v>
      </c>
      <c r="G22">
        <v>97.44</v>
      </c>
      <c r="H22">
        <v>2.56</v>
      </c>
      <c r="K22">
        <v>0.05</v>
      </c>
      <c r="L22">
        <v>0</v>
      </c>
    </row>
    <row r="23" spans="1:12" x14ac:dyDescent="0.25">
      <c r="A23" s="1" t="s">
        <v>5</v>
      </c>
      <c r="B23">
        <v>83557</v>
      </c>
      <c r="C23">
        <v>70773</v>
      </c>
      <c r="D23">
        <v>154330</v>
      </c>
    </row>
    <row r="26" spans="1:12" ht="30" x14ac:dyDescent="0.25">
      <c r="F26" s="27" t="str">
        <f>+F1</f>
        <v>Rama Actividad (rama1)</v>
      </c>
      <c r="G26" s="28" t="str">
        <f>+G1</f>
        <v>Formal (1)</v>
      </c>
      <c r="H26" s="28" t="str">
        <f>+H1</f>
        <v>Informal (0)</v>
      </c>
    </row>
    <row r="27" spans="1:12" x14ac:dyDescent="0.25">
      <c r="F27" s="27" t="str">
        <f>+F5</f>
        <v>D. Suministros de electricidad, gas</v>
      </c>
      <c r="G27" s="27">
        <f t="shared" ref="G27:H27" si="1">+G5</f>
        <v>91.36</v>
      </c>
      <c r="H27" s="27">
        <f t="shared" si="1"/>
        <v>8.64</v>
      </c>
    </row>
    <row r="28" spans="1:12" x14ac:dyDescent="0.25">
      <c r="F28" s="27" t="str">
        <f>+F6</f>
        <v>E. Distribución de agua, alcantarillado</v>
      </c>
      <c r="G28" s="27">
        <f t="shared" ref="G28:H28" si="2">+G6</f>
        <v>96.32</v>
      </c>
      <c r="H28" s="27">
        <f t="shared" si="2"/>
        <v>3.68</v>
      </c>
    </row>
    <row r="29" spans="1:12" x14ac:dyDescent="0.25">
      <c r="F29" s="27" t="str">
        <f>+F11</f>
        <v>J. Información y comunicación</v>
      </c>
      <c r="G29" s="27">
        <f t="shared" ref="G29:H29" si="3">+G11</f>
        <v>90.53</v>
      </c>
      <c r="H29" s="27">
        <f t="shared" si="3"/>
        <v>9.4700000000000006</v>
      </c>
    </row>
    <row r="30" spans="1:12" x14ac:dyDescent="0.25">
      <c r="F30" s="27" t="str">
        <f>+F12</f>
        <v>K. Actividades financieras y de seguros</v>
      </c>
      <c r="G30" s="27">
        <f t="shared" ref="G30:H30" si="4">+G12</f>
        <v>97.36</v>
      </c>
      <c r="H30" s="27">
        <f t="shared" si="4"/>
        <v>2.64</v>
      </c>
    </row>
    <row r="31" spans="1:12" x14ac:dyDescent="0.25">
      <c r="F31" s="27" t="str">
        <f>+F16</f>
        <v>O. Administración pública, defensa y seg. social</v>
      </c>
      <c r="G31" s="27">
        <f t="shared" ref="G31:H31" si="5">+G16</f>
        <v>99.84</v>
      </c>
      <c r="H31" s="27">
        <f t="shared" si="5"/>
        <v>0.16</v>
      </c>
    </row>
    <row r="32" spans="1:12" x14ac:dyDescent="0.25">
      <c r="F32" s="27" t="str">
        <f>+F17</f>
        <v>P. Enseñanza</v>
      </c>
      <c r="G32" s="27">
        <f t="shared" ref="G32:H32" si="6">+G17</f>
        <v>94.21</v>
      </c>
      <c r="H32" s="27">
        <f t="shared" si="6"/>
        <v>5.79</v>
      </c>
    </row>
    <row r="33" spans="6:8" x14ac:dyDescent="0.25">
      <c r="F33" s="27" t="str">
        <f>+F18</f>
        <v>Q. Actividades de atención de la salud humana</v>
      </c>
      <c r="G33" s="27">
        <f t="shared" ref="G33:H33" si="7">+G18</f>
        <v>89.44</v>
      </c>
      <c r="H33" s="27">
        <f t="shared" si="7"/>
        <v>10.56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opLeftCell="A7" workbookViewId="0">
      <selection activeCell="D15" sqref="D15"/>
    </sheetView>
  </sheetViews>
  <sheetFormatPr baseColWidth="10" defaultColWidth="9.140625" defaultRowHeight="15" x14ac:dyDescent="0.25"/>
  <cols>
    <col min="1" max="1" width="30.7109375" customWidth="1"/>
    <col min="2" max="2" width="31.7109375" customWidth="1"/>
    <col min="3" max="10" width="12.28515625" customWidth="1"/>
  </cols>
  <sheetData>
    <row r="1" spans="1:10" s="22" customFormat="1" ht="44.25" customHeight="1" x14ac:dyDescent="0.25">
      <c r="A1" s="16" t="s">
        <v>72</v>
      </c>
      <c r="B1" s="16" t="s">
        <v>0</v>
      </c>
      <c r="C1" s="16" t="s">
        <v>83</v>
      </c>
      <c r="D1" s="16" t="s">
        <v>84</v>
      </c>
      <c r="E1" s="16" t="s">
        <v>76</v>
      </c>
      <c r="F1" s="16" t="s">
        <v>85</v>
      </c>
      <c r="G1" s="16" t="s">
        <v>77</v>
      </c>
      <c r="H1" s="16" t="s">
        <v>79</v>
      </c>
      <c r="I1" s="16" t="s">
        <v>80</v>
      </c>
      <c r="J1" s="16" t="s">
        <v>73</v>
      </c>
    </row>
    <row r="2" spans="1:10" x14ac:dyDescent="0.25">
      <c r="A2" s="29" t="s">
        <v>81</v>
      </c>
      <c r="B2" s="1" t="s">
        <v>3</v>
      </c>
      <c r="C2">
        <v>41.05</v>
      </c>
      <c r="D2">
        <v>13.62</v>
      </c>
      <c r="E2">
        <v>15</v>
      </c>
      <c r="F2">
        <v>40</v>
      </c>
      <c r="G2">
        <v>30</v>
      </c>
      <c r="H2">
        <v>51</v>
      </c>
      <c r="I2">
        <v>96</v>
      </c>
      <c r="J2">
        <v>83557</v>
      </c>
    </row>
    <row r="3" spans="1:10" x14ac:dyDescent="0.25">
      <c r="A3" s="29"/>
      <c r="B3" s="7" t="s">
        <v>4</v>
      </c>
      <c r="C3">
        <v>46.2</v>
      </c>
      <c r="D3">
        <v>17.260000000000002</v>
      </c>
      <c r="E3">
        <v>15</v>
      </c>
      <c r="F3">
        <v>46</v>
      </c>
      <c r="G3">
        <v>32</v>
      </c>
      <c r="H3">
        <v>59</v>
      </c>
      <c r="I3">
        <v>98</v>
      </c>
      <c r="J3">
        <v>70773</v>
      </c>
    </row>
    <row r="4" spans="1:10" s="10" customFormat="1" x14ac:dyDescent="0.25">
      <c r="A4" s="8"/>
      <c r="B4" s="8"/>
    </row>
    <row r="5" spans="1:10" s="10" customFormat="1" x14ac:dyDescent="0.25">
      <c r="A5" s="8"/>
      <c r="B5" s="8"/>
    </row>
    <row r="6" spans="1:10" s="10" customFormat="1" x14ac:dyDescent="0.25">
      <c r="A6" s="8"/>
      <c r="B6" s="8"/>
    </row>
    <row r="7" spans="1:10" s="10" customFormat="1" x14ac:dyDescent="0.25">
      <c r="A7" s="8"/>
      <c r="B7" s="8"/>
    </row>
    <row r="8" spans="1:10" x14ac:dyDescent="0.25">
      <c r="A8" s="21"/>
      <c r="B8" s="21"/>
      <c r="C8" s="2" t="s">
        <v>74</v>
      </c>
      <c r="D8" s="2" t="s">
        <v>75</v>
      </c>
      <c r="E8" s="2" t="s">
        <v>76</v>
      </c>
      <c r="F8" s="2" t="s">
        <v>78</v>
      </c>
      <c r="G8" s="2" t="s">
        <v>77</v>
      </c>
      <c r="H8" s="2" t="s">
        <v>79</v>
      </c>
      <c r="I8" s="2" t="s">
        <v>80</v>
      </c>
      <c r="J8" s="2" t="s">
        <v>73</v>
      </c>
    </row>
    <row r="9" spans="1:10" x14ac:dyDescent="0.25">
      <c r="A9" s="29" t="s">
        <v>82</v>
      </c>
      <c r="B9" s="1" t="s">
        <v>3</v>
      </c>
      <c r="C9">
        <v>39.92</v>
      </c>
      <c r="D9">
        <v>12.02</v>
      </c>
      <c r="E9">
        <v>1</v>
      </c>
      <c r="F9">
        <v>40</v>
      </c>
      <c r="G9">
        <v>40</v>
      </c>
      <c r="H9">
        <v>44</v>
      </c>
      <c r="I9">
        <v>124</v>
      </c>
      <c r="J9">
        <v>83557</v>
      </c>
    </row>
    <row r="10" spans="1:10" x14ac:dyDescent="0.25">
      <c r="A10" s="29"/>
      <c r="B10" s="1" t="s">
        <v>4</v>
      </c>
      <c r="C10">
        <v>29.64</v>
      </c>
      <c r="D10">
        <v>14.41</v>
      </c>
      <c r="E10">
        <v>1</v>
      </c>
      <c r="F10">
        <v>30</v>
      </c>
      <c r="G10">
        <v>20</v>
      </c>
      <c r="H10">
        <v>40</v>
      </c>
      <c r="I10">
        <v>105</v>
      </c>
      <c r="J10">
        <v>70773</v>
      </c>
    </row>
  </sheetData>
  <mergeCells count="2">
    <mergeCell ref="A9:A10"/>
    <mergeCell ref="A2:A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00_Target_General</vt:lpstr>
      <vt:lpstr>01_Sexo</vt:lpstr>
      <vt:lpstr>02_Area</vt:lpstr>
      <vt:lpstr>03_Estado_Civil</vt:lpstr>
      <vt:lpstr>04_Nivel_Educativo</vt:lpstr>
      <vt:lpstr>05_Tamano_Empresa</vt:lpstr>
      <vt:lpstr>06_Cat_Ocupacion</vt:lpstr>
      <vt:lpstr>07_Grupo_Ocupacional</vt:lpstr>
      <vt:lpstr>08_Rama_Actividad</vt:lpstr>
      <vt:lpstr>09_Variables_Continuas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</cp:lastModifiedBy>
  <dcterms:created xsi:type="dcterms:W3CDTF">2026-10-14T04:15:07Z</dcterms:created>
  <dcterms:modified xsi:type="dcterms:W3CDTF">2026-10-27T02:54:25Z</dcterms:modified>
</cp:coreProperties>
</file>